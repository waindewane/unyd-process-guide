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29dd7328df4479e" /></Relationships>
</file>

<file path=xl/workbook.xml><?xml version="1.0" encoding="utf-8"?>
<x:workbook xmlns:x="http://schemas.openxmlformats.org/spreadsheetml/2006/main">
  <x:sheets>
    <x:sheet xmlns:r="http://schemas.openxmlformats.org/officeDocument/2006/relationships" name="Start here" sheetId="1" r:id="R8da1e17953e04bfb"/>
    <x:sheet xmlns:r="http://schemas.openxmlformats.org/officeDocument/2006/relationships" name="2027 forecast" sheetId="2" r:id="R4ce33ac1f2f5474c"/>
    <x:sheet xmlns:r="http://schemas.openxmlformats.org/officeDocument/2006/relationships" name="Source inventory" sheetId="3" r:id="R9c026bb57c574740"/>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8"/>
      <x:color rgb="FFFFFFFF"/>
      <x:name val="Carlito"/>
    </x:font>
    <x:font>
      <x:i/>
      <x:sz val="10"/>
      <x:color rgb="FF17365D"/>
      <x:name val="Carlito"/>
    </x:font>
    <x:font>
      <x:b/>
      <x:sz val="12"/>
      <x:color rgb="FFFFFFFF"/>
      <x:name val="Carlito"/>
    </x:font>
    <x:font>
      <x:b/>
      <x:sz val="10"/>
      <x:color rgb="FFFFFFFF"/>
      <x:name val="Carlito"/>
    </x:font>
    <x:font>
      <x:b/>
      <x:sz val="11"/>
      <x:color rgb="FF17365D"/>
      <x:name val="Carlito"/>
    </x:font>
    <x:font>
      <x:b/>
      <x:sz val="12"/>
      <x:name val="Carlito"/>
    </x:font>
    <x:font>
      <x:i/>
      <x:sz val="11"/>
      <x:color rgb="FF1F4E78"/>
      <x:name val="Carlito"/>
    </x:font>
    <x:font>
      <x:b/>
      <x:sz val="18"/>
      <x:color rgb="FF1F1F1F"/>
      <x:name val="Arial"/>
    </x:font>
    <x:font>
      <x:b/>
      <x:sz val="9"/>
      <x:color rgb="FF1F1F1F"/>
      <x:name val="Arial"/>
    </x:font>
    <x:font>
      <x:b/>
      <x:sz val="18"/>
      <x:color rgb="FFFFFFFF"/>
      <x:name val="Arial"/>
    </x:font>
    <x:font>
      <x:i/>
      <x:sz val="10"/>
      <x:color rgb="FF17365D"/>
      <x:name val="Arial"/>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FF2CC"/>
      </x:patternFill>
    </x:fill>
    <x:fill>
      <x:patternFill patternType="solid">
        <x:fgColor rgb="FFE7E6E6"/>
      </x:patternFill>
    </x:fill>
    <x:fill>
      <x:patternFill patternType="solid">
        <x:fgColor rgb="FFF3F8FC"/>
      </x:patternFill>
    </x:fill>
    <x:fill>
      <x:patternFill patternType="solid">
        <x:fgColor rgb="FFFFFFFF"/>
      </x:patternFill>
    </x:fill>
  </x:fills>
  <x:borders count="2">
    <x:border/>
    <x:border>
      <x:left style="thin">
        <x:color rgb="FFB4C6E7"/>
      </x:left>
      <x:right style="thin">
        <x:color rgb="FFB4C6E7"/>
      </x:right>
      <x:top style="thin">
        <x:color rgb="FFB4C6E7"/>
      </x:top>
      <x:bottom style="thin">
        <x:color rgb="FFB4C6E7"/>
      </x:bottom>
    </x:border>
  </x:borders>
  <x:cellStyleXfs count="1">
    <x:xf numFmtId="0" fontId="0" fillId="0" borderId="0"/>
  </x:cellStyleXfs>
  <x:cellXfs count="3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5" fillId="0" borderId="1" xfId="0" applyNumberFormat="1" applyFont="1" applyFill="1" applyBorder="1"/>
    <x:xf numFmtId="0" fontId="6" fillId="0" borderId="1" xfId="0" applyNumberFormat="1" applyFont="1" applyFill="1" applyBorder="1"/>
    <x:xf numFmtId="0" fontId="6" fillId="0" borderId="1" xfId="0" applyNumberFormat="1" applyFont="1" applyFill="1" applyBorder="1" applyAlignment="1">
      <x:alignment horizontal="center"/>
    </x:xf>
    <x:xf numFmtId="0" fontId="5" fillId="3" borderId="1" xfId="0" applyNumberFormat="1" applyFont="1" applyFill="1" applyBorder="1" applyAlignment="1">
      <x:alignment horizontal="center" vertical="top"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8" fillId="2" borderId="0" xfId="0" applyNumberFormat="1" applyFont="1" applyFill="1" applyBorder="1" applyAlignment="1">
      <x:alignment vertical="center"/>
    </x:xf>
    <x:xf numFmtId="0" fontId="0" fillId="9" borderId="1" xfId="0" applyNumberFormat="1" applyFont="1" applyFill="1" applyBorder="1" applyAlignment="1">
      <x:alignment vertical="top" wrapText="1"/>
    </x:xf>
    <x:xf numFmtId="0" fontId="0" fillId="8" borderId="1" xfId="0" applyNumberFormat="1" applyFont="1" applyFill="1" applyBorder="1" applyAlignment="1">
      <x:alignment vertical="top" wrapText="1"/>
    </x:xf>
    <x:xf numFmtId="0" fontId="9" fillId="2" borderId="0" xfId="0" applyNumberFormat="1" applyFont="1" applyFill="1" applyBorder="1" applyAlignment="1">
      <x:alignment vertical="center"/>
    </x:xf>
    <x:xf numFmtId="0" fontId="10" fillId="2" borderId="0" xfId="0" applyNumberFormat="1" applyFont="1" applyFill="1" applyBorder="1" applyAlignment="1">
      <x:alignment vertical="center"/>
    </x:xf>
    <x:xf numFmtId="0" fontId="11" fillId="3" borderId="0" xfId="0" applyNumberFormat="1" applyFont="1" applyFill="1" applyBorder="1" applyAlignment="1">
      <x:alignment vertical="center" wrapText="1"/>
    </x:xf>
  </x:cellXfs>
  <x:cellStyles count="1">
    <x:cellStyle name="Normal" xfId="0"/>
  </x:cellStyles>
  <x:dxfs count="11">
    <x:dxf>
      <x:font>
        <x:b/>
        <x:color rgb="FF1F1F1F"/>
      </x:font>
      <x:fill>
        <x:patternFill patternType="solid">
          <x:bgColor rgb="FFE2F0D9"/>
        </x:patternFill>
      </x:fill>
    </x:dxf>
    <x:dxf>
      <x:font>
        <x:b/>
        <x:color rgb="FF17365D"/>
      </x:font>
      <x:fill>
        <x:patternFill patternType="solid">
          <x:bgColor rgb="FFD9EAF7"/>
        </x:patternFill>
      </x:fill>
    </x:dxf>
    <x:dxf>
      <x:font>
        <x:b/>
        <x:color rgb="FF1F1F1F"/>
      </x:font>
      <x:fill>
        <x:patternFill patternType="solid">
          <x:bgColor rgb="FFFFF2CC"/>
        </x:patternFill>
      </x:fill>
    </x:dxf>
    <x:dxf>
      <x:font>
        <x:b/>
        <x:color rgb="FF1F1F1F"/>
      </x:font>
      <x:fill>
        <x:patternFill patternType="solid">
          <x:bgColor rgb="FFE7E6E6"/>
        </x:patternFill>
      </x:fill>
    </x:dxf>
    <x:dxf>
      <x:font>
        <x:b/>
      </x:font>
      <x:fill>
        <x:patternFill patternType="solid">
          <x:bgColor rgb="FFE2F0D9"/>
        </x:patternFill>
      </x:fill>
    </x:dxf>
    <x:dxf>
      <x:font>
        <x:b/>
      </x:font>
      <x:fill>
        <x:patternFill patternType="solid">
          <x:bgColor rgb="FFFFF2CC"/>
        </x:patternFill>
      </x:fill>
    </x:dxf>
    <x:dxf>
      <x:font>
        <x:b/>
      </x:font>
      <x:fill>
        <x:patternFill patternType="solid">
          <x:bgColor rgb="FFFCE4D6"/>
        </x:patternFill>
      </x:fill>
    </x:dxf>
    <x:dxf>
      <x:font>
        <x:b/>
      </x:font>
      <x:fill>
        <x:patternFill patternType="solid">
          <x:bgColor rgb="FFE2F0D9"/>
        </x:patternFill>
      </x:fill>
    </x:dxf>
    <x:dxf>
      <x:fill>
        <x:patternFill patternType="solid">
          <x:bgColor rgb="FFE7E6E6"/>
        </x:patternFill>
      </x:fill>
    </x:dxf>
    <x:dxf>
      <x:fill>
        <x:patternFill patternType="solid">
          <x:bgColor rgb="FFFCE4D6"/>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7a29610bf8a4240" /><Relationship Type="http://schemas.openxmlformats.org/officeDocument/2006/relationships/theme" Target="/xl/theme/theme1.xml" Id="R3dca060f6fbf44e8" /><Relationship Type="http://schemas.openxmlformats.org/officeDocument/2006/relationships/sharedStrings" Target="/xl/sharedStrings.xml" Id="R6bfedcde23bc4446" /><Relationship Type="http://schemas.openxmlformats.org/officeDocument/2006/relationships/worksheet" Target="/xl/worksheets/sheet1.xml" Id="R8da1e17953e04bfb" /><Relationship Type="http://schemas.openxmlformats.org/officeDocument/2006/relationships/worksheet" Target="/xl/worksheets/sheet2.xml" Id="R4ce33ac1f2f5474c" /><Relationship Type="http://schemas.openxmlformats.org/officeDocument/2006/relationships/worksheet" Target="/xl/worksheets/sheet3.xml" Id="R9c026bb57c574740" /></Relationships>
</file>

<file path=xl/tables/table1.xml><?xml version="1.0" encoding="utf-8"?>
<x:table xmlns:x="http://schemas.openxmlformats.org/spreadsheetml/2006/main" id="1" name="HRC2027Forecast" displayName="HRC2027Forecast" ref="A5:K39" headerRowCount="1" totalsRowCount="0" totalsRowShown="0">
  <x:autoFilter ref="A5:K39"/>
  <x:tableColumns count="11">
    <x:tableColumn id="1" name="target_session"/>
    <x:tableColumn id="2" name="forecast_class"/>
    <x:tableColumn id="3" name="initiative_or_file"/>
    <x:tableColumn id="4" name="known_cycle_or_basis"/>
    <x:tableColumn id="5" name="most_recent_official_text_and_symbol"/>
    <x:tableColumn id="6" name="previous_comparable_session_evidence"/>
    <x:tableColumn id="7" name="main_sponsor_or_core_group"/>
    <x:tableColumn id="8" name="reason_for_2027_assessment"/>
    <x:tableColumn id="9" name="confidence"/>
    <x:tableColumn id="10" name="official_source_url"/>
    <x:tableColumn id="11" name="notes"/>
  </x:tableColumns>
  <x:tableStyleInfo name="TableStyleMedium2" showFirstColumn="0" showLastColumn="0" showRowStripes="1" showColumnStripes="0"/>
</x:table>
</file>

<file path=xl/tables/table2.xml><?xml version="1.0" encoding="utf-8"?>
<x:table xmlns:x="http://schemas.openxmlformats.org/spreadsheetml/2006/main" id="2" name="ComparableSessionSource" displayName="ComparableSessionSource" ref="A5:J408" headerRowCount="1" totalsRowCount="0" totalsRowShown="0">
  <x:autoFilter ref="A5:J408"/>
  <x:tableColumns count="10">
    <x:tableColumn id="1" name="session"/>
    <x:tableColumn id="2" name="session_id"/>
    <x:tableColumn id="3" name="draft_symbol"/>
    <x:tableColumn id="4" name="title"/>
    <x:tableColumn id="5" name="main_sponsors"/>
    <x:tableColumn id="6" name="submission_timestamp"/>
    <x:tableColumn id="7" name="final_resolution_symbol"/>
    <x:tableColumn id="8" name="status"/>
    <x:tableColumn id="9" name="action_or_vote"/>
    <x:tableColumn id="10" name="source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9275d67f22e468d" /></Relationships>
</file>

<file path=xl/worksheets/_rels/sheet3.xml.rels>&#65279;<?xml version="1.0" encoding="utf-8"?><Relationships xmlns="http://schemas.openxmlformats.org/package/2006/relationships"><Relationship Type="http://schemas.openxmlformats.org/officeDocument/2006/relationships/table" Target="/xl/tables/table2.xml" Id="R368cd3c592da4eac"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5" hidden="0" customWidth="1"/>
    <x:col min="3" max="3" width="15" hidden="0" customWidth="1"/>
    <x:col min="4" max="4" width="15" hidden="0" customWidth="1"/>
    <x:col min="5" max="5" width="15" hidden="0" customWidth="1"/>
    <x:col min="6" max="6" width="15" hidden="0" customWidth="1"/>
    <x:col min="7" max="7" width="3" hidden="0" customWidth="1"/>
    <x:col min="8" max="8" width="30" hidden="0" customWidth="1"/>
    <x:col min="9" max="9" width="14" hidden="0" customWidth="1"/>
    <x:col min="10" max="10" width="32" hidden="0" customWidth="1"/>
  </x:cols>
  <x:sheetData>
    <x:row r="1" ht="32" customHeight="1">
      <x:c r="A1" s="37" t="str">
        <x:v>Human Rights Council 2027 — recurring resolution forecast</x:v>
      </x:c>
      <x:c r="B1" s="37"/>
      <x:c r="C1" s="37"/>
      <x:c r="D1" s="37"/>
      <x:c r="E1" s="37"/>
      <x:c r="F1" s="37"/>
      <x:c r="G1" s="37"/>
      <x:c r="H1" s="37"/>
      <x:c r="I1" s="37"/>
      <x:c r="J1" s="37"/>
    </x:row>
    <x:row r="2" ht="30" customHeight="1">
      <x:c r="A2" s="38" t="str">
        <x:v>Planning watch verified 29 August 2026 · official mandate points, three-session recurrences, and unresolved items are kept separate</x:v>
      </x:c>
      <x:c r="B2" s="38"/>
      <x:c r="C2" s="38"/>
      <x:c r="D2" s="38"/>
      <x:c r="E2" s="38"/>
      <x:c r="F2" s="38"/>
      <x:c r="G2" s="38"/>
      <x:c r="H2" s="38"/>
      <x:c r="I2" s="38"/>
      <x:c r="J2" s="38"/>
    </x:row>
    <x:row r="4">
      <x:c r="A4" s="9" t="str">
        <x:v>How to read this workbook</x:v>
      </x:c>
      <x:c r="B4" s="9"/>
      <x:c r="C4" s="9"/>
      <x:c r="D4" s="9"/>
      <x:c r="E4" s="9"/>
      <x:c r="F4" s="9"/>
      <x:c r="G4" s="9"/>
      <x:c r="H4" s="9" t="str">
        <x:v>Forecast summary</x:v>
      </x:c>
      <x:c r="I4" s="9"/>
      <x:c r="J4" s="9"/>
    </x:row>
    <x:row r="5" ht="36" customHeight="1">
      <x:c r="A5" s="13" t="str">
        <x:v>Label</x:v>
      </x:c>
      <x:c r="B5" s="13" t="str">
        <x:v>Meaning</x:v>
      </x:c>
      <x:c r="C5" s="13" t="str"/>
      <x:c r="D5" s="13" t="str"/>
      <x:c r="E5" s="13" t="str"/>
      <x:c r="F5" s="13" t="str"/>
      <x:c r="H5" s="13" t="str">
        <x:v>Measure</x:v>
      </x:c>
      <x:c r="I5" s="13" t="str">
        <x:v>Count</x:v>
      </x:c>
    </x:row>
    <x:row r="6" ht="47" customHeight="1">
      <x:c r="A6" s="18" t="str">
        <x:v>Officially scheduled/mandated</x:v>
      </x:c>
      <x:c r="B6" s="19" t="str">
        <x:v>The official 2026–2028 programme identifies a mandate or formal decision point at that 2027 session. It does not guarantee renewal or a fixed title.</x:v>
      </x:c>
      <x:c r="C6" s="19" t="str"/>
      <x:c r="D6" s="19" t="str"/>
      <x:c r="E6" s="19" t="str"/>
      <x:c r="F6" s="19" t="str"/>
      <x:c r="H6" s="26" t="str">
        <x:v>All watch records</x:v>
      </x:c>
      <x:c r="I6" s="28" t="n">
        <x:f>COUNTA('2027 forecast'!A6:A39)</x:f>
        <x:v>34</x:v>
      </x:c>
    </x:row>
    <x:row r="7" ht="47" customHeight="1">
      <x:c r="A7" s="20" t="str">
        <x:v>Strong recurrence forecast</x:v>
      </x:c>
      <x:c r="B7" s="21" t="str">
        <x:v>The same or materially continuous file appeared in all three comparable first- or second-cycle sessions.</x:v>
      </x:c>
      <x:c r="C7" s="21" t="str"/>
      <x:c r="D7" s="21" t="str"/>
      <x:c r="E7" s="21" t="str"/>
      <x:c r="F7" s="21" t="str"/>
      <x:c r="H7" s="26" t="str">
        <x:v>Official decision points</x:v>
      </x:c>
      <x:c r="I7" s="28" t="n">
        <x:f>COUNTIF('2027 forecast'!B6:B39,"officially scheduled/mandated")</x:f>
        <x:v>18</x:v>
      </x:c>
    </x:row>
    <x:row r="8" ht="47" customHeight="1">
      <x:c r="A8" s="22" t="str">
        <x:v>Possible/uncertain</x:v>
      </x:c>
      <x:c r="B8" s="23" t="str">
        <x:v>The pattern has fewer than three observations, or the decisive 2026 comparator is not yet available. Do not publish it as expected.</x:v>
      </x:c>
      <x:c r="C8" s="23" t="str"/>
      <x:c r="D8" s="23" t="str"/>
      <x:c r="E8" s="23" t="str"/>
      <x:c r="F8" s="23" t="str"/>
      <x:c r="H8" s="26" t="str">
        <x:v>Strong recurrences</x:v>
      </x:c>
      <x:c r="I8" s="28" t="n">
        <x:f>COUNTIF('2027 forecast'!B6:B39,"strong recurrence forecast")</x:f>
        <x:v>10</x:v>
      </x:c>
    </x:row>
    <x:row r="9" ht="47" customHeight="1">
      <x:c r="A9" s="24" t="str">
        <x:v>Not forecast</x:v>
      </x:c>
      <x:c r="B9" s="25" t="str">
        <x:v>A related official event is recorded so that it is not mistaken for a resolution negotiation.</x:v>
      </x:c>
      <x:c r="C9" s="25" t="str"/>
      <x:c r="D9" s="25" t="str"/>
      <x:c r="E9" s="25" t="str"/>
      <x:c r="F9" s="25" t="str"/>
      <x:c r="H9" s="26" t="str">
        <x:v>Possible / uncertain</x:v>
      </x:c>
      <x:c r="I9" s="28" t="n">
        <x:f>COUNTIF('2027 forecast'!B6:B39,"possible/uncertain")</x:f>
        <x:v>5</x:v>
      </x:c>
    </x:row>
    <x:row r="10" ht="47" customHeight="1">
      <x:c r="A10" s="17" t="str">
        <x:v>Comparable sessions</x:v>
      </x:c>
      <x:c r="B10" s="16" t="str">
        <x:v>HRC64: 55, 58, 61 · HRC65: 56, 59, 62 · HRC66: 57, 60, 63. HRC63 begins on 7 September 2026 and is not yet available for recurrence analysis.</x:v>
      </x:c>
      <x:c r="C10" s="16" t="str"/>
      <x:c r="D10" s="16" t="str"/>
      <x:c r="E10" s="16" t="str"/>
      <x:c r="F10" s="16" t="str"/>
      <x:c r="H10" s="26" t="str">
        <x:v>Official non-resolution event</x:v>
      </x:c>
      <x:c r="I10" s="28" t="n">
        <x:f>COUNTIF('2027 forecast'!B6:B39,"not forecast; official non-resolution event")</x:f>
        <x:v>1</x:v>
      </x:c>
    </x:row>
    <x:row r="11" ht="47" customHeight="1">
      <x:c r="A11" s="17" t="str">
        <x:v>Evidence rule</x:v>
      </x:c>
      <x:c r="B11" s="16" t="str">
        <x:v>No cycle is inferred from one occurrence. A mandate expiry is a decision point, not an assured renewal. Final adoption should be checked in the official session report.</x:v>
      </x:c>
      <x:c r="C11" s="16" t="str"/>
      <x:c r="D11" s="16" t="str"/>
      <x:c r="E11" s="16" t="str"/>
      <x:c r="F11" s="16" t="str"/>
    </x:row>
    <x:row r="12">
      <x:c r="H12" s="9" t="str">
        <x:v>2027 session windows</x:v>
      </x:c>
      <x:c r="I12" s="9"/>
      <x:c r="J12" s="9"/>
    </x:row>
    <x:row r="13" ht="36" customHeight="1">
      <x:c r="A13" s="9" t="str">
        <x:v>Key publication controls</x:v>
      </x:c>
      <x:c r="B13" s="9"/>
      <x:c r="C13" s="9"/>
      <x:c r="D13" s="9"/>
      <x:c r="E13" s="9"/>
      <x:c r="F13" s="9"/>
      <x:c r="H13" s="13" t="str">
        <x:v>Session</x:v>
      </x:c>
      <x:c r="I13" s="13" t="str">
        <x:v>Official dates</x:v>
      </x:c>
      <x:c r="J13" s="13" t="str">
        <x:v>Forecast basis</x:v>
      </x:c>
    </x:row>
    <x:row r="14" ht="38" customHeight="1">
      <x:c r="A14" s="29" t="str">
        <x:v>1</x:v>
      </x:c>
      <x:c r="B14" s="16" t="str">
        <x:v>HRC63 is still future. Re-run the HRC66 comparison after its final report and adopted-proposals list are available.</x:v>
      </x:c>
      <x:c r="C14" s="16" t="str"/>
      <x:c r="D14" s="16" t="str"/>
      <x:c r="E14" s="16" t="str"/>
      <x:c r="F14" s="16" t="str"/>
      <x:c r="H14" s="16" t="str">
        <x:v>HRC64</x:v>
      </x:c>
      <x:c r="I14" s="16" t="str">
        <x:v>22 February–2 April 2027</x:v>
      </x:c>
      <x:c r="J14" s="16" t="str">
        <x:v>Official mandates + HRC55/58/61</x:v>
      </x:c>
    </x:row>
    <x:row r="15" ht="38" customHeight="1">
      <x:c r="A15" s="29" t="str">
        <x:v>2</x:v>
      </x:c>
      <x:c r="B15" s="16" t="str">
        <x:v>The HRC66 youth-and-human-rights item is an officially scheduled biennial panel. It is not evidence that a 2027 Youth Resolution will be negotiated.</x:v>
      </x:c>
      <x:c r="C15" s="16" t="str"/>
      <x:c r="D15" s="16" t="str"/>
      <x:c r="E15" s="16" t="str"/>
      <x:c r="F15" s="16" t="str"/>
      <x:c r="H15" s="16" t="str">
        <x:v>HRC65</x:v>
      </x:c>
      <x:c r="I15" s="16" t="str">
        <x:v>14 June–9 July 2027</x:v>
      </x:c>
      <x:c r="J15" s="16" t="str">
        <x:v>Official mandates + HRC56/59/62</x:v>
      </x:c>
    </x:row>
    <x:row r="16" ht="38" customHeight="1">
      <x:c r="A16" s="29" t="str">
        <x:v>3</x:v>
      </x:c>
      <x:c r="B16" s="16" t="str">
        <x:v>Portal draft-status labels are not a complete historical adoption record. Use the official final report before publishing outcomes.</x:v>
      </x:c>
      <x:c r="C16" s="16" t="str"/>
      <x:c r="D16" s="16" t="str"/>
      <x:c r="E16" s="16" t="str"/>
      <x:c r="F16" s="16" t="str"/>
      <x:c r="H16" s="16" t="str">
        <x:v>HRC66</x:v>
      </x:c>
      <x:c r="I16" s="16" t="str">
        <x:v>6 September–8 October 2027</x:v>
      </x:c>
      <x:c r="J16" s="16" t="str">
        <x:v>Official mandates; recurrence review waits for HRC63</x:v>
      </x:c>
    </x:row>
    <x:row r="17" ht="42" customHeight="1">
      <x:c r="A17" s="29" t="str">
        <x:v>4</x:v>
      </x:c>
      <x:c r="B17" s="16" t="str">
        <x:v>The Mali mandate point is official, but a symbol/title mapping conflict remains. Publish the mandate fact only until reconciled.</x:v>
      </x:c>
      <x:c r="C17" s="16" t="str"/>
      <x:c r="D17" s="16" t="str"/>
      <x:c r="E17" s="16" t="str"/>
      <x:c r="F17" s="16" t="str"/>
    </x:row>
    <x:row r="18" ht="42" customHeight="1">
      <x:c r="A18" s="29" t="str">
        <x:v>5</x:v>
      </x:c>
      <x:c r="B18" s="16" t="str">
        <x:v>The detailed forecast and raw source rows retain symbols, sponsors, source URLs and research notes for auditability.</x:v>
      </x:c>
      <x:c r="C18" s="16" t="str"/>
      <x:c r="D18" s="16" t="str"/>
      <x:c r="E18" s="16" t="str"/>
      <x:c r="F18" s="16" t="str"/>
    </x:row>
    <x:row r="20">
      <x:c r="A20" s="32" t="str">
        <x:v>Primary official source: https://hrcportal.ohchr.org/three-year-programme-work</x:v>
      </x:c>
      <x:c r="B20" s="32"/>
      <x:c r="C20" s="32"/>
      <x:c r="D20" s="32"/>
      <x:c r="E20" s="32"/>
      <x:c r="F20" s="32"/>
      <x:c r="G20" s="32"/>
      <x:c r="H20" s="32"/>
      <x:c r="I20" s="32"/>
      <x:c r="J20" s="32"/>
    </x:row>
  </x:sheetData>
  <x:mergeCells>
    <x:mergeCell ref="A1:J1"/>
    <x:mergeCell ref="A2:J2"/>
    <x:mergeCell ref="A4:J4"/>
    <x:mergeCell ref="B6:F6"/>
    <x:mergeCell ref="B7:F7"/>
    <x:mergeCell ref="B8:F8"/>
    <x:mergeCell ref="B9:F9"/>
    <x:mergeCell ref="B10:F10"/>
    <x:mergeCell ref="B11:F11"/>
    <x:mergeCell ref="H4:J4"/>
    <x:mergeCell ref="H12:J12"/>
    <x:mergeCell ref="A13:F13"/>
    <x:mergeCell ref="B14:F14"/>
    <x:mergeCell ref="B15:F15"/>
    <x:mergeCell ref="B16:F16"/>
    <x:mergeCell ref="B17:F17"/>
    <x:mergeCell ref="B18:F18"/>
    <x:mergeCell ref="A20:J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6" hidden="0" customWidth="1"/>
    <x:col min="3" max="3" width="34" hidden="0" customWidth="1"/>
    <x:col min="4" max="4" width="32" hidden="0" customWidth="1"/>
    <x:col min="5" max="5" width="34" hidden="0" customWidth="1"/>
    <x:col min="6" max="6" width="34" hidden="0" customWidth="1"/>
    <x:col min="7" max="7" width="31" hidden="0" customWidth="1"/>
    <x:col min="8" max="8" width="42" hidden="0" customWidth="1"/>
    <x:col min="9" max="9" width="12" hidden="0" customWidth="1"/>
    <x:col min="10" max="10" width="44" hidden="0" customWidth="1"/>
    <x:col min="11" max="11" width="34" hidden="0" customWidth="1"/>
  </x:cols>
  <x:sheetData>
    <x:row r="1" ht="32" customHeight="1">
      <x:c r="A1" s="37" t="str">
        <x:v>2027 forecast register</x:v>
      </x:c>
      <x:c r="B1" s="37"/>
      <x:c r="C1" s="37"/>
      <x:c r="D1" s="37"/>
      <x:c r="E1" s="37"/>
      <x:c r="F1" s="37"/>
      <x:c r="G1" s="37"/>
      <x:c r="H1" s="37"/>
      <x:c r="I1" s="37"/>
      <x:c r="J1" s="37"/>
      <x:c r="K1" s="37"/>
    </x:row>
    <x:row r="2" ht="30" customHeight="1">
      <x:c r="A2" s="38" t="str">
        <x:v>Editorial assessment grounded in the official 2026–2028 programme and corresponding HRC sessions · filter by session, forecast class or confidence</x:v>
      </x:c>
      <x:c r="B2" s="38"/>
      <x:c r="C2" s="38"/>
      <x:c r="D2" s="38"/>
      <x:c r="E2" s="38"/>
      <x:c r="F2" s="38"/>
      <x:c r="G2" s="38"/>
      <x:c r="H2" s="38"/>
      <x:c r="I2" s="38"/>
      <x:c r="J2" s="38"/>
      <x:c r="K2" s="38"/>
    </x:row>
    <x:row r="5" ht="36" customHeight="1">
      <x:c r="A5" s="13" t="str">
        <x:v>target_session</x:v>
      </x:c>
      <x:c r="B5" s="13" t="str">
        <x:v>forecast_class</x:v>
      </x:c>
      <x:c r="C5" s="13" t="str">
        <x:v>initiative_or_file</x:v>
      </x:c>
      <x:c r="D5" s="13" t="str">
        <x:v>known_cycle_or_basis</x:v>
      </x:c>
      <x:c r="E5" s="13" t="str">
        <x:v>most_recent_official_text_and_symbol</x:v>
      </x:c>
      <x:c r="F5" s="13" t="str">
        <x:v>previous_comparable_session_evidence</x:v>
      </x:c>
      <x:c r="G5" s="13" t="str">
        <x:v>main_sponsor_or_core_group</x:v>
      </x:c>
      <x:c r="H5" s="13" t="str">
        <x:v>reason_for_2027_assessment</x:v>
      </x:c>
      <x:c r="I5" s="13" t="str">
        <x:v>confidence</x:v>
      </x:c>
      <x:c r="J5" s="13" t="str">
        <x:v>official_source_url</x:v>
      </x:c>
      <x:c r="K5" s="13" t="str">
        <x:v>notes</x:v>
      </x:c>
    </x:row>
    <x:row r="6" ht="54" customHeight="1">
      <x:c r="A6" s="34" t="str">
        <x:v>HRC64</x:v>
      </x:c>
      <x:c r="B6" s="34" t="str">
        <x:v>officially scheduled/mandated</x:v>
      </x:c>
      <x:c r="C6" s="34" t="str">
        <x:v>Commission on Human Rights in South Sudan</x:v>
      </x:c>
      <x:c r="D6" s="34" t="str">
        <x:v>annual renewal pattern plus mandate expiry</x:v>
      </x:c>
      <x:c r="E6" s="34" t="str">
        <x:v>HRC 61/2 Advancing human rights in South Sudan</x:v>
      </x:c>
      <x:c r="F6" s="34" t="str">
        <x:v>HRC55/1; HRC58/1; HRC61/2</x:v>
      </x:c>
      <x:c r="G6" s="34" t="str">
        <x:v>United Kingdom, Albania, Ireland, Norway</x:v>
      </x:c>
      <x:c r="H6" s="34" t="str">
        <x:v>Listed as expiring at HRC64 in the official 2026-2028 supplementary programme</x:v>
      </x:c>
      <x:c r="I6" s="34" t="str">
        <x:v>high</x:v>
      </x:c>
      <x:c r="J6" s="34" t="str">
        <x:v>https://hrcportal.ohchr.org/three-year-programme-work</x:v>
      </x:c>
      <x:c r="K6" s="34" t="str">
        <x:v>Expected renewal vehicle/title can change</x:v>
      </x:c>
    </x:row>
    <x:row r="7" ht="54" customHeight="1">
      <x:c r="A7" s="35" t="str">
        <x:v>HRC64</x:v>
      </x:c>
      <x:c r="B7" s="35" t="str">
        <x:v>officially scheduled/mandated</x:v>
      </x:c>
      <x:c r="C7" s="35" t="str">
        <x:v>Independent International Commission of Inquiry on Syria</x:v>
      </x:c>
      <x:c r="D7" s="35" t="str">
        <x:v>annual country-file pattern plus mandate expiry</x:v>
      </x:c>
      <x:c r="E7" s="35" t="str">
        <x:v>HRC 61/3 Supporting human rights in the Syrian Arab Republic</x:v>
      </x:c>
      <x:c r="F7" s="35" t="str">
        <x:v>HRC55/22; HRC58/25; HRC61/3</x:v>
      </x:c>
      <x:c r="G7" s="35" t="str">
        <x:v>United Kingdom, France, Germany, Netherlands, Qatar, Türkiye</x:v>
      </x:c>
      <x:c r="H7" s="35" t="str">
        <x:v>Listed as expiring at HRC64</x:v>
      </x:c>
      <x:c r="I7" s="35" t="str">
        <x:v>high</x:v>
      </x:c>
      <x:c r="J7" s="35" t="str">
        <x:v>https://hrcportal.ohchr.org/three-year-programme-work</x:v>
      </x:c>
      <x:c r="K7" s="35" t="str">
        <x:v>Title changed in 2026</x:v>
      </x:c>
    </x:row>
    <x:row r="8" ht="54" customHeight="1">
      <x:c r="A8" s="34" t="str">
        <x:v>HRC64</x:v>
      </x:c>
      <x:c r="B8" s="34" t="str">
        <x:v>officially scheduled/mandated</x:v>
      </x:c>
      <x:c r="C8" s="34" t="str">
        <x:v>Special Rapporteur on clean healthy and sustainable environment</x:v>
      </x:c>
      <x:c r="D8" s="34" t="str">
        <x:v>three-year mandate</x:v>
      </x:c>
      <x:c r="E8" s="34" t="str">
        <x:v>HRC 55/2 Mandate of Special Rapporteur on the human right to a clean healthy and sustainable environment</x:v>
      </x:c>
      <x:c r="F8" s="34" t="str">
        <x:v>HRC55/2</x:v>
      </x:c>
      <x:c r="G8" s="34" t="str">
        <x:v>Main sponsor not recovered from official HRC55 report</x:v>
      </x:c>
      <x:c r="H8" s="34" t="str">
        <x:v>Listed as expiring at HRC64</x:v>
      </x:c>
      <x:c r="I8" s="34" t="str">
        <x:v>high</x:v>
      </x:c>
      <x:c r="J8" s="34" t="str">
        <x:v>https://hrcportal.ohchr.org/three-year-programme-work</x:v>
      </x:c>
      <x:c r="K8" s="34" t="str">
        <x:v>Forecast is a mandate-renewal file rather than exact-title prediction</x:v>
      </x:c>
    </x:row>
    <x:row r="9" ht="54" customHeight="1">
      <x:c r="A9" s="35" t="str">
        <x:v>HRC64</x:v>
      </x:c>
      <x:c r="B9" s="35" t="str">
        <x:v>officially scheduled/mandated</x:v>
      </x:c>
      <x:c r="C9" s="35" t="str">
        <x:v>Special Rapporteur on privacy</x:v>
      </x:c>
      <x:c r="D9" s="35" t="str">
        <x:v>three-year mandate</x:v>
      </x:c>
      <x:c r="E9" s="35" t="str">
        <x:v>HRC 55/3 Mandate of Special Rapporteur on the right to privacy</x:v>
      </x:c>
      <x:c r="F9" s="35" t="str">
        <x:v>HRC55/3</x:v>
      </x:c>
      <x:c r="G9" s="35" t="str">
        <x:v>Main sponsor not recovered from official HRC55 report</x:v>
      </x:c>
      <x:c r="H9" s="35" t="str">
        <x:v>Listed as expiring at HRC64</x:v>
      </x:c>
      <x:c r="I9" s="35" t="str">
        <x:v>high</x:v>
      </x:c>
      <x:c r="J9" s="35" t="str">
        <x:v>https://hrcportal.ohchr.org/three-year-programme-work</x:v>
      </x:c>
      <x:c r="K9" s="35" t="str">
        <x:v>Exact title may change</x:v>
      </x:c>
    </x:row>
    <x:row r="10" ht="54" customHeight="1">
      <x:c r="A10" s="34" t="str">
        <x:v>HRC64</x:v>
      </x:c>
      <x:c r="B10" s="34" t="str">
        <x:v>officially scheduled/mandated</x:v>
      </x:c>
      <x:c r="C10" s="34" t="str">
        <x:v>Special Rapporteur in the field of cultural rights</x:v>
      </x:c>
      <x:c r="D10" s="34" t="str">
        <x:v>three-year mandate</x:v>
      </x:c>
      <x:c r="E10" s="34" t="str">
        <x:v>HRC 55/5 Mandate of Special Rapporteur in the field of cultural rights</x:v>
      </x:c>
      <x:c r="F10" s="34" t="str">
        <x:v>HRC55/5</x:v>
      </x:c>
      <x:c r="G10" s="34" t="str">
        <x:v>Main sponsor not recovered from official HRC55 report</x:v>
      </x:c>
      <x:c r="H10" s="34" t="str">
        <x:v>Listed as expiring at HRC64</x:v>
      </x:c>
      <x:c r="I10" s="34" t="str">
        <x:v>high</x:v>
      </x:c>
      <x:c r="J10" s="34" t="str">
        <x:v>https://hrcportal.ohchr.org/three-year-programme-work</x:v>
      </x:c>
      <x:c r="K10" s="34" t="str">
        <x:v>Do not conflate with separate cultural-heritage/diversity files</x:v>
      </x:c>
    </x:row>
    <x:row r="11" ht="54" customHeight="1">
      <x:c r="A11" s="35" t="str">
        <x:v>HRC64</x:v>
      </x:c>
      <x:c r="B11" s="35" t="str">
        <x:v>officially scheduled/mandated</x:v>
      </x:c>
      <x:c r="C11" s="35" t="str">
        <x:v>Independent Expert on albinism</x:v>
      </x:c>
      <x:c r="D11" s="35" t="str">
        <x:v>three-year mandate</x:v>
      </x:c>
      <x:c r="E11" s="35" t="str">
        <x:v>HRC 55/18 Mandate of Independent Expert on the enjoyment of human rights by persons with albinism</x:v>
      </x:c>
      <x:c r="F11" s="35" t="str">
        <x:v>HRC55/18</x:v>
      </x:c>
      <x:c r="G11" s="35" t="str">
        <x:v>Main sponsor not recovered from official HRC55 report</x:v>
      </x:c>
      <x:c r="H11" s="35" t="str">
        <x:v>Listed as expiring at HRC64</x:v>
      </x:c>
      <x:c r="I11" s="35" t="str">
        <x:v>high</x:v>
      </x:c>
      <x:c r="J11" s="35" t="str">
        <x:v>https://hrcportal.ohchr.org/three-year-programme-work</x:v>
      </x:c>
      <x:c r="K11" s="35" t="str">
        <x:v>Exact title may change</x:v>
      </x:c>
    </x:row>
    <x:row r="12" ht="54" customHeight="1">
      <x:c r="A12" s="34" t="str">
        <x:v>HRC64</x:v>
      </x:c>
      <x:c r="B12" s="34" t="str">
        <x:v>officially scheduled/mandated</x:v>
      </x:c>
      <x:c r="C12" s="34" t="str">
        <x:v>Group of Human Rights Experts on Nicaragua</x:v>
      </x:c>
      <x:c r="D12" s="34" t="str">
        <x:v>mandate expiry</x:v>
      </x:c>
      <x:c r="E12" s="34" t="str">
        <x:v>HRC 58/18 Promotion and protection of human rights in Nicaragua</x:v>
      </x:c>
      <x:c r="F12" s="34" t="str">
        <x:v>HRC58/18</x:v>
      </x:c>
      <x:c r="G12" s="34" t="str">
        <x:v>Costa Rica, Argentina, Brazil, Canada, Chile, Colombia, Ecuador, Paraguay, Peru</x:v>
      </x:c>
      <x:c r="H12" s="34" t="str">
        <x:v>Listed as expiring at HRC64</x:v>
      </x:c>
      <x:c r="I12" s="34" t="str">
        <x:v>high</x:v>
      </x:c>
      <x:c r="J12" s="34" t="str">
        <x:v>https://hrcportal.ohchr.org/three-year-programme-work</x:v>
      </x:c>
      <x:c r="K12" s="34" t="str">
        <x:v>Renewal is not guaranteed but the mandate is formally due for consideration</x:v>
      </x:c>
    </x:row>
    <x:row r="13" ht="54" customHeight="1">
      <x:c r="A13" s="35" t="str">
        <x:v>HRC64</x:v>
      </x:c>
      <x:c r="B13" s="35" t="str">
        <x:v>officially scheduled/mandated</x:v>
      </x:c>
      <x:c r="C13" s="35" t="str">
        <x:v>Iran human-rights mechanisms</x:v>
      </x:c>
      <x:c r="D13" s="35" t="str">
        <x:v>mandate expiry</x:v>
      </x:c>
      <x:c r="E13" s="35" t="str">
        <x:v>HRC S-39/1 and HRC58/21 Situation of human rights in the Islamic Republic of Iran</x:v>
      </x:c>
      <x:c r="F13" s="35" t="str">
        <x:v>HRC55/19; HRC58/21</x:v>
      </x:c>
      <x:c r="G13" s="35" t="str">
        <x:v>HRC58 file: Iceland, Germany, North Macedonia, Moldova, United Kingdom</x:v>
      </x:c>
      <x:c r="H13" s="35" t="str">
        <x:v>Official programme lists the Iran mechanism at HRC64</x:v>
      </x:c>
      <x:c r="I13" s="35" t="str">
        <x:v>high</x:v>
      </x:c>
      <x:c r="J13" s="35" t="str">
        <x:v>https://hrcportal.ohchr.org/three-year-programme-work</x:v>
      </x:c>
      <x:c r="K13" s="35" t="str">
        <x:v>Verify whether the SR and FFM are renewed in one or separate texts</x:v>
      </x:c>
    </x:row>
    <x:row r="14" ht="54" customHeight="1">
      <x:c r="A14" s="34" t="str">
        <x:v>HRC64</x:v>
      </x:c>
      <x:c r="B14" s="34" t="str">
        <x:v>officially scheduled/mandated</x:v>
      </x:c>
      <x:c r="C14" s="34" t="str">
        <x:v>Group of Independent Experts on Belarus</x:v>
      </x:c>
      <x:c r="D14" s="34" t="str">
        <x:v>annual country-file pattern plus mandate expiry</x:v>
      </x:c>
      <x:c r="E14" s="34" t="str">
        <x:v>HRC 61/26 Situation of human rights in Belarus</x:v>
      </x:c>
      <x:c r="F14" s="34" t="str">
        <x:v>HRC55/27; HRC58/19; HRC61/26</x:v>
      </x:c>
      <x:c r="G14" s="34" t="str">
        <x:v>Cyprus on behalf of the European Union</x:v>
      </x:c>
      <x:c r="H14" s="34" t="str">
        <x:v>Listed as expiring at HRC64</x:v>
      </x:c>
      <x:c r="I14" s="34" t="str">
        <x:v>high</x:v>
      </x:c>
      <x:c r="J14" s="34" t="str">
        <x:v>https://hrcportal.ohchr.org/three-year-programme-work</x:v>
      </x:c>
      <x:c r="K14" s="34" t="str"/>
    </x:row>
    <x:row r="15" ht="54" customHeight="1">
      <x:c r="A15" s="35" t="str">
        <x:v>HRC64</x:v>
      </x:c>
      <x:c r="B15" s="35" t="str">
        <x:v>officially scheduled/mandated</x:v>
      </x:c>
      <x:c r="C15" s="35" t="str">
        <x:v>Special Rapporteur on DPRK</x:v>
      </x:c>
      <x:c r="D15" s="35" t="str">
        <x:v>annual country-file pattern plus mandate expiry</x:v>
      </x:c>
      <x:c r="E15" s="35" t="str">
        <x:v>HRC 61/27 Situation of human rights in the Democratic People's Republic of Korea</x:v>
      </x:c>
      <x:c r="F15" s="35" t="str">
        <x:v>HRC55/21; HRC58/17; HRC61/27</x:v>
      </x:c>
      <x:c r="G15" s="35" t="str">
        <x:v>Cyprus on behalf of the European Union; Australia</x:v>
      </x:c>
      <x:c r="H15" s="35" t="str">
        <x:v>Listed as expiring at HRC64</x:v>
      </x:c>
      <x:c r="I15" s="35" t="str">
        <x:v>high</x:v>
      </x:c>
      <x:c r="J15" s="35" t="str">
        <x:v>https://hrcportal.ohchr.org/three-year-programme-work</x:v>
      </x:c>
      <x:c r="K15" s="35" t="str"/>
    </x:row>
    <x:row r="16" ht="54" customHeight="1">
      <x:c r="A16" s="34" t="str">
        <x:v>HRC64</x:v>
      </x:c>
      <x:c r="B16" s="34" t="str">
        <x:v>officially scheduled/mandated</x:v>
      </x:c>
      <x:c r="C16" s="34" t="str">
        <x:v>Independent International Commission of Inquiry on Ukraine</x:v>
      </x:c>
      <x:c r="D16" s="34" t="str">
        <x:v>annual country-file pattern plus mandate expiry</x:v>
      </x:c>
      <x:c r="E16" s="34" t="str">
        <x:v>HRC 61/29 Situation of human rights in Ukraine stemming from the Russian aggression</x:v>
      </x:c>
      <x:c r="F16" s="34" t="str">
        <x:v>HRC55/23; HRC58/24; HRC61/29</x:v>
      </x:c>
      <x:c r="G16" s="34" t="str">
        <x:v>Ukraine</x:v>
      </x:c>
      <x:c r="H16" s="34" t="str">
        <x:v>Listed as expiring at HRC64</x:v>
      </x:c>
      <x:c r="I16" s="34" t="str">
        <x:v>high</x:v>
      </x:c>
      <x:c r="J16" s="34" t="str">
        <x:v>https://hrcportal.ohchr.org/three-year-programme-work</x:v>
      </x:c>
      <x:c r="K16" s="34" t="str"/>
    </x:row>
    <x:row r="17" ht="54" customHeight="1">
      <x:c r="A17" s="35" t="str">
        <x:v>HRC64</x:v>
      </x:c>
      <x:c r="B17" s="35" t="str">
        <x:v>officially scheduled/mandated</x:v>
      </x:c>
      <x:c r="C17" s="35" t="str">
        <x:v>Special Rapporteur on Myanmar</x:v>
      </x:c>
      <x:c r="D17" s="35" t="str">
        <x:v>annual country-file pattern plus mandate expiry</x:v>
      </x:c>
      <x:c r="E17" s="35" t="str">
        <x:v>HRC 61/30 Situation of human rights in Myanmar</x:v>
      </x:c>
      <x:c r="F17" s="35" t="str">
        <x:v>HRC55/20; HRC58/20; HRC61/30</x:v>
      </x:c>
      <x:c r="G17" s="35" t="str">
        <x:v>Cyprus on behalf of the European Union</x:v>
      </x:c>
      <x:c r="H17" s="35" t="str">
        <x:v>Listed as expiring at HRC64</x:v>
      </x:c>
      <x:c r="I17" s="35" t="str">
        <x:v>high</x:v>
      </x:c>
      <x:c r="J17" s="35" t="str">
        <x:v>https://hrcportal.ohchr.org/three-year-programme-work</x:v>
      </x:c>
      <x:c r="K17" s="35" t="str"/>
    </x:row>
    <x:row r="18" ht="54" customHeight="1">
      <x:c r="A18" s="34" t="str">
        <x:v>HRC64</x:v>
      </x:c>
      <x:c r="B18" s="34" t="str">
        <x:v>officially scheduled/mandated</x:v>
      </x:c>
      <x:c r="C18" s="34" t="str">
        <x:v>Independent Expert on Mali</x:v>
      </x:c>
      <x:c r="D18" s="34" t="str">
        <x:v>official programme lists mandate expiry</x:v>
      </x:c>
      <x:c r="E18" s="34" t="str">
        <x:v>HRC 61/37 according to 2026-2028 supplementary programme</x:v>
      </x:c>
      <x:c r="F18" s="34" t="str">
        <x:v>HRC55/25; HRC58/30; official programme HRC61/37</x:v>
      </x:c>
      <x:c r="G18" s="34" t="str">
        <x:v>Kenya on behalf of the African Group in HRC61 adopted-proposal list</x:v>
      </x:c>
      <x:c r="H18" s="34" t="str">
        <x:v>Listed as expiring at HRC64</x:v>
      </x:c>
      <x:c r="I18" s="34" t="str">
        <x:v>medium</x:v>
      </x:c>
      <x:c r="J18" s="34" t="str">
        <x:v>https://hrcportal.ohchr.org/three-year-programme-work</x:v>
      </x:c>
      <x:c r="K18" s="34" t="str">
        <x:v>HRC portal's current HRC61 mapping conflicts with the adopted-proposals PDF; verify before publishing</x:v>
      </x:c>
    </x:row>
    <x:row r="19" ht="54" customHeight="1">
      <x:c r="A19" s="35" t="str">
        <x:v>HRC64</x:v>
      </x:c>
      <x:c r="B19" s="35" t="str">
        <x:v>officially scheduled/mandated</x:v>
      </x:c>
      <x:c r="C19" s="35" t="str">
        <x:v>Independent human-rights expert on Haiti</x:v>
      </x:c>
      <x:c r="D19" s="35" t="str">
        <x:v>annual country-file pattern plus mandate expiry</x:v>
      </x:c>
      <x:c r="E19" s="35" t="str">
        <x:v>HRC 61/38 Assistance technique and capacity-building for Haiti</x:v>
      </x:c>
      <x:c r="F19" s="35" t="str">
        <x:v>HRC55/24; HRC58/32; HRC61/38</x:v>
      </x:c>
      <x:c r="G19" s="35" t="str">
        <x:v>Haiti</x:v>
      </x:c>
      <x:c r="H19" s="35" t="str">
        <x:v>Listed as expiring at HRC64</x:v>
      </x:c>
      <x:c r="I19" s="35" t="str">
        <x:v>high</x:v>
      </x:c>
      <x:c r="J19" s="35" t="str">
        <x:v>https://hrcportal.ohchr.org/three-year-programme-work</x:v>
      </x:c>
      <x:c r="K19" s="35" t="str"/>
    </x:row>
    <x:row r="20" ht="54" customHeight="1">
      <x:c r="A20" s="34" t="str">
        <x:v>HRC64</x:v>
      </x:c>
      <x:c r="B20" s="34" t="str">
        <x:v>strong recurrence forecast</x:v>
      </x:c>
      <x:c r="C20" s="34" t="str">
        <x:v>Unilateral coercive measures</x:v>
      </x:c>
      <x:c r="D20" s="34" t="str">
        <x:v>three consecutive March sessions</x:v>
      </x:c>
      <x:c r="E20" s="34" t="str">
        <x:v>HRC 61/6 The negative impact of unilateral coercive measures on the enjoyment of human rights</x:v>
      </x:c>
      <x:c r="F20" s="34" t="str">
        <x:v>HRC55/7; HRC58/3; HRC61/6</x:v>
      </x:c>
      <x:c r="G20" s="34" t="str">
        <x:v>Uganda on behalf of the Non-Aligned Movement</x:v>
      </x:c>
      <x:c r="H20" s="34" t="str">
        <x:v>Same title and annual sequence across all three comparable sessions</x:v>
      </x:c>
      <x:c r="I20" s="34" t="str">
        <x:v>high</x:v>
      </x:c>
      <x:c r="J20" s="34" t="str">
        <x:v>https://hrcportal.ohchr.org/draft-resolutions?sessionID=6452</x:v>
      </x:c>
      <x:c r="K20" s="34" t="str"/>
    </x:row>
    <x:row r="21" ht="54" customHeight="1">
      <x:c r="A21" s="35" t="str">
        <x:v>HRC64</x:v>
      </x:c>
      <x:c r="B21" s="35" t="str">
        <x:v>strong recurrence forecast</x:v>
      </x:c>
      <x:c r="C21" s="35" t="str">
        <x:v>Occupied Palestinian Territory accountability</x:v>
      </x:c>
      <x:c r="D21" s="35" t="str">
        <x:v>three consecutive March sessions</x:v>
      </x:c>
      <x:c r="E21" s="35" t="str">
        <x:v>HRC 61/4 Human rights situation in the Occupied Palestinian Territory including East Jerusalem and the obligation to ensure accountability and justice</x:v>
      </x:c>
      <x:c r="F21" s="35" t="str">
        <x:v>HRC55/28; HRC58/2; HRC61/4</x:v>
      </x:c>
      <x:c r="G21" s="35" t="str">
        <x:v>Pakistan on behalf of the OIC except Albania</x:v>
      </x:c>
      <x:c r="H21" s="35" t="str">
        <x:v>Same title and annual sequence across all three comparable sessions</x:v>
      </x:c>
      <x:c r="I21" s="35" t="str">
        <x:v>high</x:v>
      </x:c>
      <x:c r="J21" s="35" t="str">
        <x:v>https://hrcportal.ohchr.org/draft-resolutions?sessionID=6452</x:v>
      </x:c>
      <x:c r="K21" s="35" t="str"/>
    </x:row>
    <x:row r="22" ht="54" customHeight="1">
      <x:c r="A22" s="34" t="str">
        <x:v>HRC64</x:v>
      </x:c>
      <x:c r="B22" s="34" t="str">
        <x:v>strong recurrence forecast</x:v>
      </x:c>
      <x:c r="C22" s="34" t="str">
        <x:v>Palestinian self-determination</x:v>
      </x:c>
      <x:c r="D22" s="34" t="str">
        <x:v>three consecutive March sessions</x:v>
      </x:c>
      <x:c r="E22" s="34" t="str">
        <x:v>HRC 61/33 Right of the Palestinian people to self-determination</x:v>
      </x:c>
      <x:c r="F22" s="34" t="str">
        <x:v>HRC55/30; HRC58/27; HRC61/33</x:v>
      </x:c>
      <x:c r="G22" s="34" t="str">
        <x:v>Pakistan on behalf of the OIC</x:v>
      </x:c>
      <x:c r="H22" s="34" t="str">
        <x:v>Same title and annual sequence across all three comparable sessions</x:v>
      </x:c>
      <x:c r="I22" s="34" t="str">
        <x:v>high</x:v>
      </x:c>
      <x:c r="J22" s="34" t="str">
        <x:v>https://hrcportal.ohchr.org/draft-resolutions?sessionID=6452</x:v>
      </x:c>
      <x:c r="K22" s="34" t="str"/>
    </x:row>
    <x:row r="23" ht="54" customHeight="1">
      <x:c r="A23" s="35" t="str">
        <x:v>HRC64</x:v>
      </x:c>
      <x:c r="B23" s="35" t="str">
        <x:v>strong recurrence forecast</x:v>
      </x:c>
      <x:c r="C23" s="35" t="str">
        <x:v>Occupied Syrian Golan</x:v>
      </x:c>
      <x:c r="D23" s="35" t="str">
        <x:v>three consecutive March sessions</x:v>
      </x:c>
      <x:c r="E23" s="35" t="str">
        <x:v>HRC 61/31 Human rights in the occupied Syrian Golan</x:v>
      </x:c>
      <x:c r="F23" s="35" t="str">
        <x:v>HRC55/31; HRC58/26; HRC61/31</x:v>
      </x:c>
      <x:c r="G23" s="35" t="str">
        <x:v>Pakistan on behalf of the OIC</x:v>
      </x:c>
      <x:c r="H23" s="35" t="str">
        <x:v>Same title and annual sequence across all three comparable sessions</x:v>
      </x:c>
      <x:c r="I23" s="35" t="str">
        <x:v>high</x:v>
      </x:c>
      <x:c r="J23" s="35" t="str">
        <x:v>https://hrcportal.ohchr.org/draft-resolutions?sessionID=6452</x:v>
      </x:c>
      <x:c r="K23" s="35" t="str"/>
    </x:row>
    <x:row r="24" ht="54" customHeight="1">
      <x:c r="A24" s="34" t="str">
        <x:v>HRC64</x:v>
      </x:c>
      <x:c r="B24" s="34" t="str">
        <x:v>strong recurrence forecast</x:v>
      </x:c>
      <x:c r="C24" s="34" t="str">
        <x:v>Israeli settlements</x:v>
      </x:c>
      <x:c r="D24" s="34" t="str">
        <x:v>three consecutive March sessions</x:v>
      </x:c>
      <x:c r="E24" s="34" t="str">
        <x:v>HRC 61/32 Israeli settlements in the Occupied Palestinian Territory including East Jerusalem and in the occupied Syrian Golan</x:v>
      </x:c>
      <x:c r="F24" s="34" t="str">
        <x:v>HRC55/32; HRC58/28; HRC61/32</x:v>
      </x:c>
      <x:c r="G24" s="34" t="str">
        <x:v>Pakistan on behalf of the OIC except Albania</x:v>
      </x:c>
      <x:c r="H24" s="34" t="str">
        <x:v>Same title and annual sequence across all three comparable sessions</x:v>
      </x:c>
      <x:c r="I24" s="34" t="str">
        <x:v>high</x:v>
      </x:c>
      <x:c r="J24" s="34" t="str">
        <x:v>https://hrcportal.ohchr.org/draft-resolutions?sessionID=6452</x:v>
      </x:c>
      <x:c r="K24" s="34" t="str"/>
    </x:row>
    <x:row r="25" ht="54" customHeight="1">
      <x:c r="A25" s="35" t="str">
        <x:v>HRC64</x:v>
      </x:c>
      <x:c r="B25" s="35" t="str">
        <x:v>strong recurrence forecast</x:v>
      </x:c>
      <x:c r="C25" s="35" t="str">
        <x:v>Freedom of religion or belief</x:v>
      </x:c>
      <x:c r="D25" s="35" t="str">
        <x:v>three consecutive March sessions</x:v>
      </x:c>
      <x:c r="E25" s="35" t="str">
        <x:v>HRC 61/25 Freedom of religion or belief</x:v>
      </x:c>
      <x:c r="F25" s="35" t="str">
        <x:v>HRC55/16; HRC58/5; HRC61/25</x:v>
      </x:c>
      <x:c r="G25" s="35" t="str">
        <x:v>Cyprus on behalf of the European Union</x:v>
      </x:c>
      <x:c r="H25" s="35" t="str">
        <x:v>Same title appears in all three comparable sessions; separate SR mandate timing should not be conflated</x:v>
      </x:c>
      <x:c r="I25" s="35" t="str">
        <x:v>high</x:v>
      </x:c>
      <x:c r="J25" s="35" t="str">
        <x:v>https://hrcportal.ohchr.org/draft-resolutions?sessionID=6452</x:v>
      </x:c>
      <x:c r="K25" s="35" t="str"/>
    </x:row>
    <x:row r="26" ht="54" customHeight="1">
      <x:c r="A26" s="34" t="str">
        <x:v>HRC65</x:v>
      </x:c>
      <x:c r="B26" s="34" t="str">
        <x:v>officially scheduled/mandated</x:v>
      </x:c>
      <x:c r="C26" s="34" t="str">
        <x:v>Special Rapporteur on Eritrea</x:v>
      </x:c>
      <x:c r="D26" s="34" t="str">
        <x:v>three consecutive June sessions plus mandate expiry</x:v>
      </x:c>
      <x:c r="E26" s="34" t="str">
        <x:v>HRC 62/2 Situation of human rights in Eritrea</x:v>
      </x:c>
      <x:c r="F26" s="34" t="str">
        <x:v>HRC56/17; HRC59/1; HRC62/2</x:v>
      </x:c>
      <x:c r="G26" s="34" t="str">
        <x:v>Cyprus on behalf of the European Union</x:v>
      </x:c>
      <x:c r="H26" s="34" t="str">
        <x:v>Listed as expiring at HRC65</x:v>
      </x:c>
      <x:c r="I26" s="34" t="str">
        <x:v>high</x:v>
      </x:c>
      <x:c r="J26" s="34" t="str">
        <x:v>https://hrcportal.ohchr.org/three-year-programme-work</x:v>
      </x:c>
      <x:c r="K26" s="34" t="str"/>
    </x:row>
    <x:row r="27" ht="54" customHeight="1">
      <x:c r="A27" s="35" t="str">
        <x:v>HRC65</x:v>
      </x:c>
      <x:c r="B27" s="35" t="str">
        <x:v>strong recurrence forecast</x:v>
      </x:c>
      <x:c r="C27" s="35" t="str">
        <x:v>Enhancement of international cooperation</x:v>
      </x:c>
      <x:c r="D27" s="35" t="str">
        <x:v>three consecutive June sessions</x:v>
      </x:c>
      <x:c r="E27" s="35" t="str">
        <x:v>HRC 62/6 Enhancement of international cooperation in the field of human rights</x:v>
      </x:c>
      <x:c r="F27" s="35" t="str">
        <x:v>HRC56/2; HRC59/3; HRC62/6</x:v>
      </x:c>
      <x:c r="G27" s="35" t="str">
        <x:v>Uganda on behalf of the Non-Aligned Movement</x:v>
      </x:c>
      <x:c r="H27" s="35" t="str">
        <x:v>Same title and annual sequence across all three comparable sessions</x:v>
      </x:c>
      <x:c r="I27" s="35" t="str">
        <x:v>high</x:v>
      </x:c>
      <x:c r="J27" s="35" t="str">
        <x:v>https://hrcportal.ohchr.org/draft-resolutions?sessionID=11436</x:v>
      </x:c>
      <x:c r="K27" s="35" t="str"/>
    </x:row>
    <x:row r="28" ht="54" customHeight="1">
      <x:c r="A28" s="34" t="str">
        <x:v>HRC65</x:v>
      </x:c>
      <x:c r="B28" s="34" t="str">
        <x:v>strong recurrence forecast</x:v>
      </x:c>
      <x:c r="C28" s="34" t="str">
        <x:v>Social Forum</x:v>
      </x:c>
      <x:c r="D28" s="34" t="str">
        <x:v>three consecutive June sessions</x:v>
      </x:c>
      <x:c r="E28" s="34" t="str">
        <x:v>HRC 62/22 The Social Forum</x:v>
      </x:c>
      <x:c r="F28" s="34" t="str">
        <x:v>HRC56/12; HRC59/21; HRC62/22</x:v>
      </x:c>
      <x:c r="G28" s="34" t="str">
        <x:v>Cuba</x:v>
      </x:c>
      <x:c r="H28" s="34" t="str">
        <x:v>Same title and annual sequence across all three comparable sessions</x:v>
      </x:c>
      <x:c r="I28" s="34" t="str">
        <x:v>high</x:v>
      </x:c>
      <x:c r="J28" s="34" t="str">
        <x:v>https://hrcportal.ohchr.org/draft-resolutions?sessionID=11436</x:v>
      </x:c>
      <x:c r="K28" s="34" t="str"/>
    </x:row>
    <x:row r="29" ht="54" customHeight="1">
      <x:c r="A29" s="35" t="str">
        <x:v>HRC65</x:v>
      </x:c>
      <x:c r="B29" s="35" t="str">
        <x:v>strong recurrence forecast</x:v>
      </x:c>
      <x:c r="C29" s="35" t="str">
        <x:v>Human rights and climate change</x:v>
      </x:c>
      <x:c r="D29" s="35" t="str">
        <x:v>three consecutive June sessions</x:v>
      </x:c>
      <x:c r="E29" s="35" t="str">
        <x:v>HRC 62/14 Human rights and climate change</x:v>
      </x:c>
      <x:c r="F29" s="35" t="str">
        <x:v>HRC56/8; HRC59/25; HRC62/14</x:v>
      </x:c>
      <x:c r="G29" s="35" t="str">
        <x:v>Philippines, Bangladesh, Viet Nam</x:v>
      </x:c>
      <x:c r="H29" s="35" t="str">
        <x:v>Same title and annual sequence across all three comparable sessions</x:v>
      </x:c>
      <x:c r="I29" s="35" t="str">
        <x:v>high</x:v>
      </x:c>
      <x:c r="J29" s="35" t="str">
        <x:v>https://hrcportal.ohchr.org/draft-resolutions?sessionID=11436</x:v>
      </x:c>
      <x:c r="K29" s="35" t="str"/>
    </x:row>
    <x:row r="30" ht="54" customHeight="1">
      <x:c r="A30" s="34" t="str">
        <x:v>HRC65</x:v>
      </x:c>
      <x:c r="B30" s="34" t="str">
        <x:v>strong recurrence forecast</x:v>
      </x:c>
      <x:c r="C30" s="34" t="str">
        <x:v>Rohingya Muslims and other minorities in Myanmar</x:v>
      </x:c>
      <x:c r="D30" s="34" t="str">
        <x:v>three consecutive June sessions</x:v>
      </x:c>
      <x:c r="E30" s="34" t="str">
        <x:v>HRC 62/3 Situation of human rights of Rohingya Muslims and other minorities in Myanmar</x:v>
      </x:c>
      <x:c r="F30" s="34" t="str">
        <x:v>HRC56/1; HRC59/2; HRC62/3</x:v>
      </x:c>
      <x:c r="G30" s="34" t="str">
        <x:v>Pakistan on behalf of the OIC</x:v>
      </x:c>
      <x:c r="H30" s="34" t="str">
        <x:v>Same title and annual sequence across all three comparable sessions</x:v>
      </x:c>
      <x:c r="I30" s="34" t="str">
        <x:v>high</x:v>
      </x:c>
      <x:c r="J30" s="34" t="str">
        <x:v>https://hrcportal.ohchr.org/draft-resolutions?sessionID=11436</x:v>
      </x:c>
      <x:c r="K30" s="34" t="str"/>
    </x:row>
    <x:row r="31" ht="54" customHeight="1">
      <x:c r="A31" s="35" t="str">
        <x:v>HRC65</x:v>
      </x:c>
      <x:c r="B31" s="35" t="str">
        <x:v>possible/uncertain</x:v>
      </x:c>
      <x:c r="C31" s="35" t="str">
        <x:v>Right to education</x:v>
      </x:c>
      <x:c r="D31" s="35" t="str">
        <x:v>two consecutive June sessions but insufficient evidence of annual cycle</x:v>
      </x:c>
      <x:c r="E31" s="35" t="str">
        <x:v>HRC 62/8 The right to education</x:v>
      </x:c>
      <x:c r="F31" s="35" t="str">
        <x:v>HRC59/9; HRC62/8</x:v>
      </x:c>
      <x:c r="G31" s="35" t="str">
        <x:v>Portugal</x:v>
      </x:c>
      <x:c r="H31" s="35" t="str">
        <x:v>Two observations are insufficient to declare an annual cycle</x:v>
      </x:c>
      <x:c r="I31" s="35" t="str">
        <x:v>low</x:v>
      </x:c>
      <x:c r="J31" s="35" t="str">
        <x:v>https://hrcportal.ohchr.org/draft-resolutions?sessionID=11436</x:v>
      </x:c>
      <x:c r="K31" s="35" t="str">
        <x:v>Watch the HRC65 zero-draft page instead of prelisting as expected</x:v>
      </x:c>
    </x:row>
    <x:row r="32" ht="54" customHeight="1">
      <x:c r="A32" s="34" t="str">
        <x:v>HRC66</x:v>
      </x:c>
      <x:c r="B32" s="34" t="str">
        <x:v>officially scheduled/mandated</x:v>
      </x:c>
      <x:c r="C32" s="34" t="str">
        <x:v>Special Rapporteur on human rights in the context of climate change</x:v>
      </x:c>
      <x:c r="D32" s="34" t="str">
        <x:v>three-year mandate</x:v>
      </x:c>
      <x:c r="E32" s="34" t="str">
        <x:v>HRC 57/31 Mandate of Special Rapporteur on the promotion and protection of human rights in the context of climate change</x:v>
      </x:c>
      <x:c r="F32" s="34" t="str">
        <x:v>HRC57/31</x:v>
      </x:c>
      <x:c r="G32" s="34" t="str">
        <x:v>Main sponsor not recovered from official report</x:v>
      </x:c>
      <x:c r="H32" s="34" t="str">
        <x:v>Listed as expiring at HRC66</x:v>
      </x:c>
      <x:c r="I32" s="34" t="str">
        <x:v>high</x:v>
      </x:c>
      <x:c r="J32" s="34" t="str">
        <x:v>https://hrcportal.ohchr.org/three-year-programme-work</x:v>
      </x:c>
      <x:c r="K32" s="34" t="str">
        <x:v>Do not conflate with the separate annual June climate-change resolution</x:v>
      </x:c>
    </x:row>
    <x:row r="33" ht="54" customHeight="1">
      <x:c r="A33" s="35" t="str">
        <x:v>HRC66</x:v>
      </x:c>
      <x:c r="B33" s="35" t="str">
        <x:v>officially scheduled/mandated</x:v>
      </x:c>
      <x:c r="C33" s="35" t="str">
        <x:v>International Independent Expert Mechanism to Advance Racial Justice and Equality in Law Enforcement</x:v>
      </x:c>
      <x:c r="D33" s="35" t="str">
        <x:v>three-year mandate</x:v>
      </x:c>
      <x:c r="E33" s="35" t="str">
        <x:v>HRC 56/13 Mandate of the International Independent Expert Mechanism to Advance Racial Justice and Equality in Law Enforcement</x:v>
      </x:c>
      <x:c r="F33" s="35" t="str">
        <x:v>HRC56/13</x:v>
      </x:c>
      <x:c r="G33" s="35" t="str">
        <x:v>Gambia on behalf of the African Group</x:v>
      </x:c>
      <x:c r="H33" s="35" t="str">
        <x:v>Listed as expiring at HRC66</x:v>
      </x:c>
      <x:c r="I33" s="35" t="str">
        <x:v>high</x:v>
      </x:c>
      <x:c r="J33" s="35" t="str">
        <x:v>https://hrcportal.ohchr.org/three-year-programme-work</x:v>
      </x:c>
      <x:c r="K33" s="35" t="str"/>
    </x:row>
    <x:row r="34" ht="54" customHeight="1">
      <x:c r="A34" s="34" t="str">
        <x:v>HRC66</x:v>
      </x:c>
      <x:c r="B34" s="34" t="str">
        <x:v>officially scheduled/mandated</x:v>
      </x:c>
      <x:c r="C34" s="34" t="str">
        <x:v>Special Rapporteur on Cambodia</x:v>
      </x:c>
      <x:c r="D34" s="34" t="str">
        <x:v>three-year mandate</x:v>
      </x:c>
      <x:c r="E34" s="34" t="str">
        <x:v>HRC 60/33 Advisory services and technical assistance for Cambodia</x:v>
      </x:c>
      <x:c r="F34" s="34" t="str">
        <x:v>HRC60/33</x:v>
      </x:c>
      <x:c r="G34" s="34" t="str">
        <x:v>Japan</x:v>
      </x:c>
      <x:c r="H34" s="34" t="str">
        <x:v>Listed as expiring at HRC66</x:v>
      </x:c>
      <x:c r="I34" s="34" t="str">
        <x:v>high</x:v>
      </x:c>
      <x:c r="J34" s="34" t="str">
        <x:v>https://hrcportal.ohchr.org/three-year-programme-work</x:v>
      </x:c>
      <x:c r="K34" s="34" t="str">
        <x:v>Exact renewal title may use the mandate rather than the resolution title</x:v>
      </x:c>
    </x:row>
    <x:row r="35" ht="54" customHeight="1">
      <x:c r="A35" s="35" t="str">
        <x:v>HRC66</x:v>
      </x:c>
      <x:c r="B35" s="35" t="str">
        <x:v>possible/uncertain</x:v>
      </x:c>
      <x:c r="C35" s="35" t="str">
        <x:v>Sri Lanka</x:v>
      </x:c>
      <x:c r="D35" s="35" t="str">
        <x:v>two comparable September sessions but HRC63 is still future</x:v>
      </x:c>
      <x:c r="E35" s="35" t="str">
        <x:v>HRC 60/1 Promoting reconciliation accountability and human rights in Sri Lanka</x:v>
      </x:c>
      <x:c r="F35" s="35" t="str">
        <x:v>HRC57/1; HRC60/1</x:v>
      </x:c>
      <x:c r="G35" s="35" t="str">
        <x:v>United Kingdom, Canada, Malawi, Montenegro, North Macedonia</x:v>
      </x:c>
      <x:c r="H35" s="35" t="str">
        <x:v>Two-session pattern alone is not enough and the intervening HRC63 evidence does not yet exist</x:v>
      </x:c>
      <x:c r="I35" s="35" t="str">
        <x:v>low</x:v>
      </x:c>
      <x:c r="J35" s="35" t="str">
        <x:v>https://hrcportal.ohchr.org/draft-resolutions?sessionID=18354</x:v>
      </x:c>
      <x:c r="K35" s="35" t="str">
        <x:v>Do not put on a public 2027 watchlist as expected yet</x:v>
      </x:c>
    </x:row>
    <x:row r="36" ht="54" customHeight="1">
      <x:c r="A36" s="34" t="str">
        <x:v>HRC66</x:v>
      </x:c>
      <x:c r="B36" s="34" t="str">
        <x:v>possible/uncertain</x:v>
      </x:c>
      <x:c r="C36" s="34" t="str">
        <x:v>Assistance to Somalia</x:v>
      </x:c>
      <x:c r="D36" s="34" t="str">
        <x:v>two comparable September sessions but HRC63 is still future</x:v>
      </x:c>
      <x:c r="E36" s="34" t="str">
        <x:v>HRC 60/28 Assistance to Somalia in the field of human rights</x:v>
      </x:c>
      <x:c r="F36" s="34" t="str">
        <x:v>HRC57/27; HRC60/28</x:v>
      </x:c>
      <x:c r="G36" s="34" t="str">
        <x:v>United Kingdom; Somalia</x:v>
      </x:c>
      <x:c r="H36" s="34" t="str">
        <x:v>Two-session pattern alone is not enough and the intervening HRC63 evidence does not yet exist</x:v>
      </x:c>
      <x:c r="I36" s="34" t="str">
        <x:v>low</x:v>
      </x:c>
      <x:c r="J36" s="34" t="str">
        <x:v>https://hrcportal.ohchr.org/draft-resolutions?sessionID=18354</x:v>
      </x:c>
      <x:c r="K36" s="34" t="str"/>
    </x:row>
    <x:row r="37" ht="54" customHeight="1">
      <x:c r="A37" s="35" t="str">
        <x:v>HRC66</x:v>
      </x:c>
      <x:c r="B37" s="35" t="str">
        <x:v>possible/uncertain</x:v>
      </x:c>
      <x:c r="C37" s="35" t="str">
        <x:v>Technical cooperation and capacity-building</x:v>
      </x:c>
      <x:c r="D37" s="35" t="str">
        <x:v>two comparable September sessions but HRC63 is still future</x:v>
      </x:c>
      <x:c r="E37" s="35" t="str">
        <x:v>HRC 60/30 Enhancement of technical cooperation and capacity-building in the field of human rights</x:v>
      </x:c>
      <x:c r="F37" s="35" t="str">
        <x:v>HRC57/32; HRC60/30</x:v>
      </x:c>
      <x:c r="G37" s="35" t="str">
        <x:v>Thailand, Brazil, Honduras, Indonesia, Morocco, Norway, Qatar, Singapore, Türkiye</x:v>
      </x:c>
      <x:c r="H37" s="35" t="str">
        <x:v>Two-session pattern alone is not enough and the intervening HRC63 evidence does not yet exist</x:v>
      </x:c>
      <x:c r="I37" s="35" t="str">
        <x:v>low</x:v>
      </x:c>
      <x:c r="J37" s="35" t="str">
        <x:v>https://hrcportal.ohchr.org/draft-resolutions?sessionID=18354</x:v>
      </x:c>
      <x:c r="K37" s="35" t="str"/>
    </x:row>
    <x:row r="38" ht="54" customHeight="1">
      <x:c r="A38" s="34" t="str">
        <x:v>HRC66</x:v>
      </x:c>
      <x:c r="B38" s="34" t="str">
        <x:v>possible/uncertain</x:v>
      </x:c>
      <x:c r="C38" s="34" t="str">
        <x:v>Russian Federation country situation</x:v>
      </x:c>
      <x:c r="D38" s="34" t="str">
        <x:v>two comparable September sessions but HRC63 is still future</x:v>
      </x:c>
      <x:c r="E38" s="34" t="str">
        <x:v>HRC 60/21 Situation of human rights in the Russian Federation</x:v>
      </x:c>
      <x:c r="F38" s="34" t="str">
        <x:v>HRC57/20; HRC60/21</x:v>
      </x:c>
      <x:c r="G38" s="34" t="str">
        <x:v>Netherlands and broad European co-sponsorship including Austria</x:v>
      </x:c>
      <x:c r="H38" s="34" t="str">
        <x:v>The HRC60 mandate expires at HRC63; whether it is renewed then determines any HRC66 expectation</x:v>
      </x:c>
      <x:c r="I38" s="34" t="str">
        <x:v>low</x:v>
      </x:c>
      <x:c r="J38" s="34" t="str">
        <x:v>https://hrcportal.ohchr.org/draft-resolutions?sessionID=18354</x:v>
      </x:c>
      <x:c r="K38" s="34" t="str"/>
    </x:row>
    <x:row r="39" ht="54" customHeight="1">
      <x:c r="A39" s="35" t="str">
        <x:v>HRC66</x:v>
      </x:c>
      <x:c r="B39" s="35" t="str">
        <x:v>not forecast; official non-resolution event</x:v>
      </x:c>
      <x:c r="C39" s="35" t="str">
        <x:v>Youth and human rights panel</x:v>
      </x:c>
      <x:c r="D39" s="35" t="str">
        <x:v>biennial panel scheduled by existing resolution</x:v>
      </x:c>
      <x:c r="E39" s="35" t="str">
        <x:v>HRC 57/30 Youth and human rights; HRC51/17 panel mandate</x:v>
      </x:c>
      <x:c r="F39" s="35" t="str">
        <x:v>HRC57/30</x:v>
      </x:c>
      <x:c r="G39" s="35" t="str">
        <x:v>Main sponsor for panel mandate not recovered from sources reviewed</x:v>
      </x:c>
      <x:c r="H39" s="35" t="str">
        <x:v>Official 2026-2028 programme schedules the biennial panel at HRC66 but does not itself establish a 2027 youth-resolution negotiation</x:v>
      </x:c>
      <x:c r="I39" s="35" t="str">
        <x:v>high</x:v>
      </x:c>
      <x:c r="J39" s="35" t="str">
        <x:v>https://hrcportal.ohchr.org/three-year-programme-work</x:v>
      </x:c>
      <x:c r="K39" s="35" t="str">
        <x:v>This is the key distinction for the website</x:v>
      </x:c>
    </x:row>
  </x:sheetData>
  <x:mergeCells>
    <x:mergeCell ref="A1:K1"/>
    <x:mergeCell ref="A2:K2"/>
  </x:mergeCells>
  <x:conditionalFormatting sqref="B6:B39">
    <x:cfRule type="containsText" dxfId="0" priority="1" operator="containsText" text="officially scheduled/mandated"/>
    <x:cfRule type="containsText" dxfId="1" priority="2" operator="containsText" text="strong recurrence forecast"/>
    <x:cfRule type="containsText" dxfId="2" priority="3" operator="containsText" text="possible/uncertain"/>
    <x:cfRule type="containsText" dxfId="3" priority="4" operator="containsText" text="not forecast"/>
  </x:conditionalFormatting>
  <x:conditionalFormatting sqref="I6:I39">
    <x:cfRule type="containsText" dxfId="4" priority="5" operator="containsText" text="high"/>
    <x:cfRule type="containsText" dxfId="5" priority="6" operator="containsText" text="medium"/>
    <x:cfRule type="containsText" dxfId="6" priority="7" operator="containsText" text="low"/>
  </x:conditionalFormatting>
  <x:dataValidations count="2">
    <x:dataValidation type="list" sqref="B6:B39">
      <x:formula1>"officially scheduled/mandated,strong recurrence forecast,possible/uncertain,not forecast; official non-resolution event"</x:formula1>
    </x:dataValidation>
    <x:dataValidation type="list" sqref="I6:I39">
      <x:formula1>"high,medium,low"</x:formula1>
    </x:dataValidation>
  </x:dataValidations>
  <x:pageMargins left="0.7" right="0.7" top="0.75" bottom="0.75" header="0.3" footer="0.3"/>
  <x:tableParts count="1">
    <x:tablePart xmlns:r="http://schemas.openxmlformats.org/officeDocument/2006/relationships" r:id="R39275d67f22e468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21" hidden="0" customWidth="1"/>
    <x:col min="4" max="4" width="42" hidden="0" customWidth="1"/>
    <x:col min="5" max="5" width="34" hidden="0" customWidth="1"/>
    <x:col min="6" max="6" width="21" hidden="0" customWidth="1"/>
    <x:col min="7" max="7" width="25" hidden="0" customWidth="1"/>
    <x:col min="8" max="8" width="24" hidden="0" customWidth="1"/>
    <x:col min="9" max="9" width="28" hidden="0" customWidth="1"/>
    <x:col min="10" max="10" width="46" hidden="0" customWidth="1"/>
  </x:cols>
  <x:sheetData>
    <x:row r="1" ht="32" customHeight="1">
      <x:c r="A1" s="37" t="str">
        <x:v>Comparable-session source inventory</x:v>
      </x:c>
      <x:c r="B1" s="37"/>
      <x:c r="C1" s="37"/>
      <x:c r="D1" s="37"/>
      <x:c r="E1" s="37"/>
      <x:c r="F1" s="37"/>
      <x:c r="G1" s="37"/>
      <x:c r="H1" s="37"/>
      <x:c r="I1" s="37"/>
      <x:c r="J1" s="37"/>
    </x:row>
    <x:row r="2" ht="30" customHeight="1">
      <x:c r="A2" s="38" t="str">
        <x:v>Official draft-register and final-report rows for HRC55–62 · HRC63 is pending and must be added after the September–October 2026 session</x:v>
      </x:c>
      <x:c r="B2" s="38"/>
      <x:c r="C2" s="38"/>
      <x:c r="D2" s="38"/>
      <x:c r="E2" s="38"/>
      <x:c r="F2" s="38"/>
      <x:c r="G2" s="38"/>
      <x:c r="H2" s="38"/>
      <x:c r="I2" s="38"/>
      <x:c r="J2" s="38"/>
    </x:row>
    <x:row r="5" ht="36" customHeight="1">
      <x:c r="A5" s="13" t="str">
        <x:v>session</x:v>
      </x:c>
      <x:c r="B5" s="13" t="str">
        <x:v>session_id</x:v>
      </x:c>
      <x:c r="C5" s="13" t="str">
        <x:v>draft_symbol</x:v>
      </x:c>
      <x:c r="D5" s="13" t="str">
        <x:v>title</x:v>
      </x:c>
      <x:c r="E5" s="13" t="str">
        <x:v>main_sponsors</x:v>
      </x:c>
      <x:c r="F5" s="13" t="str">
        <x:v>submission_timestamp</x:v>
      </x:c>
      <x:c r="G5" s="13" t="str">
        <x:v>final_resolution_symbol</x:v>
      </x:c>
      <x:c r="H5" s="13" t="str">
        <x:v>status</x:v>
      </x:c>
      <x:c r="I5" s="13" t="str">
        <x:v>action_or_vote</x:v>
      </x:c>
      <x:c r="J5" s="13" t="str">
        <x:v>source_url</x:v>
      </x:c>
    </x:row>
    <x:row r="6" ht="42" customHeight="1">
      <x:c r="A6" s="34" t="str">
        <x:v>55</x:v>
      </x:c>
      <x:c r="B6" s="34" t="str">
        <x:v>34757</x:v>
      </x:c>
      <x:c r="C6" s="34" t="str"/>
      <x:c r="D6" s="34" t="str">
        <x:v>Mandate of Special Rapporteur on the right to privacy</x:v>
      </x:c>
      <x:c r="E6" s="34" t="str"/>
      <x:c r="F6" s="34" t="str">
        <x:v>2024-04-03</x:v>
      </x:c>
      <x:c r="G6" s="34" t="str">
        <x:v>A/HRC/RES/55/3</x:v>
      </x:c>
      <x:c r="H6" s="34" t="str">
        <x:v>adopted</x:v>
      </x:c>
      <x:c r="I6" s="34" t="str"/>
      <x:c r="J6" s="34" t="str">
        <x:v>https://documents.un.org/api/symbol/access?l=en&amp;s=A%2FHRC%2F55%2F2&amp;t=pdf</x:v>
      </x:c>
    </x:row>
    <x:row r="7" ht="42" customHeight="1">
      <x:c r="A7" s="35" t="str">
        <x:v>55</x:v>
      </x:c>
      <x:c r="B7" s="35" t="str">
        <x:v>34757</x:v>
      </x:c>
      <x:c r="C7" s="35" t="str"/>
      <x:c r="D7" s="35" t="str">
        <x:v>Human rights in the occupied Syrian Golan</x:v>
      </x:c>
      <x:c r="E7" s="35" t="str"/>
      <x:c r="F7" s="35" t="str">
        <x:v>2024-04-05</x:v>
      </x:c>
      <x:c r="G7" s="35" t="str">
        <x:v>A/HRC/RES/55/31</x:v>
      </x:c>
      <x:c r="H7" s="35" t="str">
        <x:v>adopted</x:v>
      </x:c>
      <x:c r="I7" s="35" t="str"/>
      <x:c r="J7" s="35" t="str">
        <x:v>https://documents.un.org/api/symbol/access?l=en&amp;s=A%2FHRC%2F55%2F2&amp;t=pdf</x:v>
      </x:c>
    </x:row>
    <x:row r="8" ht="42" customHeight="1">
      <x:c r="A8" s="34" t="str">
        <x:v>55</x:v>
      </x:c>
      <x:c r="B8" s="34" t="str">
        <x:v>34757</x:v>
      </x:c>
      <x:c r="C8" s="34" t="str"/>
      <x:c r="D8" s="34" t="str">
        <x:v>Right of the Palestinian people to self-determination</x:v>
      </x:c>
      <x:c r="E8" s="34" t="str"/>
      <x:c r="F8" s="34" t="str">
        <x:v>2024-04-05</x:v>
      </x:c>
      <x:c r="G8" s="34" t="str">
        <x:v>A/HRC/RES/55/30</x:v>
      </x:c>
      <x:c r="H8" s="34" t="str">
        <x:v>adopted</x:v>
      </x:c>
      <x:c r="I8" s="34" t="str"/>
      <x:c r="J8" s="34" t="str">
        <x:v>https://documents.un.org/api/symbol/access?l=en&amp;s=A%2FHRC%2F55%2F2&amp;t=pdf</x:v>
      </x:c>
    </x:row>
    <x:row r="9" ht="42" customHeight="1">
      <x:c r="A9" s="35" t="str">
        <x:v>55</x:v>
      </x:c>
      <x:c r="B9" s="35" t="str">
        <x:v>34757</x:v>
      </x:c>
      <x:c r="C9" s="35" t="str"/>
      <x:c r="D9" s="35" t="str">
        <x:v>Rights of the child: realizing the rights of the child and inclusive social protection</x:v>
      </x:c>
      <x:c r="E9" s="35" t="str"/>
      <x:c r="F9" s="35" t="str">
        <x:v>2024-04-05</x:v>
      </x:c>
      <x:c r="G9" s="35" t="str">
        <x:v>A/HRC/RES/55/29</x:v>
      </x:c>
      <x:c r="H9" s="35" t="str">
        <x:v>adopted</x:v>
      </x:c>
      <x:c r="I9" s="35" t="str"/>
      <x:c r="J9" s="35" t="str">
        <x:v>https://documents.un.org/api/symbol/access?l=en&amp;s=A%2FHRC%2F55%2F2&amp;t=pdf</x:v>
      </x:c>
    </x:row>
    <x:row r="10" ht="42" customHeight="1">
      <x:c r="A10" s="34" t="str">
        <x:v>55</x:v>
      </x:c>
      <x:c r="B10" s="34" t="str">
        <x:v>34757</x:v>
      </x:c>
      <x:c r="C10" s="34" t="str"/>
      <x:c r="D10" s="34" t="str">
        <x:v>Human rights situation in the Occupied Palestinian Territory, including East Jerusalem, and the obligation to ensure accountability and justice</x:v>
      </x:c>
      <x:c r="E10" s="34" t="str"/>
      <x:c r="F10" s="34" t="str">
        <x:v>2024-04-05</x:v>
      </x:c>
      <x:c r="G10" s="34" t="str">
        <x:v>A/HRC/RES/55/28</x:v>
      </x:c>
      <x:c r="H10" s="34" t="str">
        <x:v>adopted</x:v>
      </x:c>
      <x:c r="I10" s="34" t="str"/>
      <x:c r="J10" s="34" t="str">
        <x:v>https://documents.un.org/api/symbol/access?l=en&amp;s=A%2FHRC%2F55%2F2&amp;t=pdf</x:v>
      </x:c>
    </x:row>
    <x:row r="11" ht="42" customHeight="1">
      <x:c r="A11" s="35" t="str">
        <x:v>55</x:v>
      </x:c>
      <x:c r="B11" s="35" t="str">
        <x:v>34757</x:v>
      </x:c>
      <x:c r="C11" s="35" t="str"/>
      <x:c r="D11" s="35" t="str">
        <x:v>Situation of human rights in Belarus</x:v>
      </x:c>
      <x:c r="E11" s="35" t="str"/>
      <x:c r="F11" s="35" t="str">
        <x:v>2024-04-04</x:v>
      </x:c>
      <x:c r="G11" s="35" t="str">
        <x:v>A/HRC/RES/55/27</x:v>
      </x:c>
      <x:c r="H11" s="35" t="str">
        <x:v>adopted</x:v>
      </x:c>
      <x:c r="I11" s="35" t="str"/>
      <x:c r="J11" s="35" t="str">
        <x:v>https://documents.un.org/api/symbol/access?l=en&amp;s=A%2FHRC%2F55%2F2&amp;t=pdf</x:v>
      </x:c>
    </x:row>
    <x:row r="12" ht="42" customHeight="1">
      <x:c r="A12" s="34" t="str">
        <x:v>55</x:v>
      </x:c>
      <x:c r="B12" s="34" t="str">
        <x:v>34757</x:v>
      </x:c>
      <x:c r="C12" s="34" t="str"/>
      <x:c r="D12" s="34" t="str">
        <x:v>Technical assistance and capacity-building for South Sudan</x:v>
      </x:c>
      <x:c r="E12" s="34" t="str"/>
      <x:c r="F12" s="34" t="str">
        <x:v>2024-04-04</x:v>
      </x:c>
      <x:c r="G12" s="34" t="str">
        <x:v>A/HRC/RES/55/26</x:v>
      </x:c>
      <x:c r="H12" s="34" t="str">
        <x:v>adopted</x:v>
      </x:c>
      <x:c r="I12" s="34" t="str"/>
      <x:c r="J12" s="34" t="str">
        <x:v>https://documents.un.org/api/symbol/access?l=en&amp;s=A%2FHRC%2F55%2F2&amp;t=pdf</x:v>
      </x:c>
    </x:row>
    <x:row r="13" ht="42" customHeight="1">
      <x:c r="A13" s="35" t="str">
        <x:v>55</x:v>
      </x:c>
      <x:c r="B13" s="35" t="str">
        <x:v>34757</x:v>
      </x:c>
      <x:c r="C13" s="35" t="str"/>
      <x:c r="D13" s="35" t="str">
        <x:v>Support systems to ensure community inclusion of persons with disabilities</x:v>
      </x:c>
      <x:c r="E13" s="35" t="str"/>
      <x:c r="F13" s="35" t="str">
        <x:v>2024-04-03</x:v>
      </x:c>
      <x:c r="G13" s="35" t="str">
        <x:v>A/HRC/RES/55/8</x:v>
      </x:c>
      <x:c r="H13" s="35" t="str">
        <x:v>adopted</x:v>
      </x:c>
      <x:c r="I13" s="35" t="str"/>
      <x:c r="J13" s="35" t="str">
        <x:v>https://documents.un.org/api/symbol/access?l=en&amp;s=A%2FHRC%2F55%2F2&amp;t=pdf</x:v>
      </x:c>
    </x:row>
    <x:row r="14" ht="42" customHeight="1">
      <x:c r="A14" s="34" t="str">
        <x:v>55</x:v>
      </x:c>
      <x:c r="B14" s="34" t="str">
        <x:v>34757</x:v>
      </x:c>
      <x:c r="C14" s="34" t="str"/>
      <x:c r="D14" s="34" t="str">
        <x:v>The negative impact of unilateral coercive measures on the enjoyment of human rights</x:v>
      </x:c>
      <x:c r="E14" s="34" t="str"/>
      <x:c r="F14" s="34" t="str">
        <x:v>2024-04-03</x:v>
      </x:c>
      <x:c r="G14" s="34" t="str">
        <x:v>A/HRC/RES/55/7</x:v>
      </x:c>
      <x:c r="H14" s="34" t="str">
        <x:v>adopted</x:v>
      </x:c>
      <x:c r="I14" s="34" t="str"/>
      <x:c r="J14" s="34" t="str">
        <x:v>https://documents.un.org/api/symbol/access?l=en&amp;s=A%2FHRC%2F55%2F2&amp;t=pdf</x:v>
      </x:c>
    </x:row>
    <x:row r="15" ht="42" customHeight="1">
      <x:c r="A15" s="35" t="str">
        <x:v>55</x:v>
      </x:c>
      <x:c r="B15" s="35" t="str">
        <x:v>34757</x:v>
      </x:c>
      <x:c r="C15" s="35" t="str"/>
      <x:c r="D15" s="35" t="str">
        <x:v>Effects of foreign debt and other related international financial obligations of States on the full enjoyment of all human rights, particularly economic, social and cultural rights</x:v>
      </x:c>
      <x:c r="E15" s="35" t="str"/>
      <x:c r="F15" s="35" t="str">
        <x:v>2024-04-03</x:v>
      </x:c>
      <x:c r="G15" s="35" t="str">
        <x:v>A/HRC/RES/55/6</x:v>
      </x:c>
      <x:c r="H15" s="35" t="str">
        <x:v>adopted</x:v>
      </x:c>
      <x:c r="I15" s="35" t="str"/>
      <x:c r="J15" s="35" t="str">
        <x:v>https://documents.un.org/api/symbol/access?l=en&amp;s=A%2FHRC%2F55%2F2&amp;t=pdf</x:v>
      </x:c>
    </x:row>
    <x:row r="16" ht="42" customHeight="1">
      <x:c r="A16" s="34" t="str">
        <x:v>55</x:v>
      </x:c>
      <x:c r="B16" s="34" t="str">
        <x:v>34757</x:v>
      </x:c>
      <x:c r="C16" s="34" t="str"/>
      <x:c r="D16" s="34" t="str">
        <x:v>Mandate of Special Rapporteur in the field of cultural rights</x:v>
      </x:c>
      <x:c r="E16" s="34" t="str"/>
      <x:c r="F16" s="34" t="str">
        <x:v>2024-04-03</x:v>
      </x:c>
      <x:c r="G16" s="34" t="str">
        <x:v>A/HRC/RES/55/5</x:v>
      </x:c>
      <x:c r="H16" s="34" t="str">
        <x:v>adopted</x:v>
      </x:c>
      <x:c r="I16" s="34" t="str"/>
      <x:c r="J16" s="34" t="str">
        <x:v>https://documents.un.org/api/symbol/access?l=en&amp;s=A%2FHRC%2F55%2F2&amp;t=pdf</x:v>
      </x:c>
    </x:row>
    <x:row r="17" ht="42" customHeight="1">
      <x:c r="A17" s="35" t="str">
        <x:v>55</x:v>
      </x:c>
      <x:c r="B17" s="35" t="str">
        <x:v>34757</x:v>
      </x:c>
      <x:c r="C17" s="35" t="str"/>
      <x:c r="D17" s="35" t="str">
        <x:v>The right to food</x:v>
      </x:c>
      <x:c r="E17" s="35" t="str"/>
      <x:c r="F17" s="35" t="str">
        <x:v>2024-04-03</x:v>
      </x:c>
      <x:c r="G17" s="35" t="str">
        <x:v>A/HRC/RES/55/4</x:v>
      </x:c>
      <x:c r="H17" s="35" t="str">
        <x:v>adopted</x:v>
      </x:c>
      <x:c r="I17" s="35" t="str"/>
      <x:c r="J17" s="35" t="str">
        <x:v>https://documents.un.org/api/symbol/access?l=en&amp;s=A%2FHRC%2F55%2F2&amp;t=pdf</x:v>
      </x:c>
    </x:row>
    <x:row r="18" ht="42" customHeight="1">
      <x:c r="A18" s="34" t="str">
        <x:v>55</x:v>
      </x:c>
      <x:c r="B18" s="34" t="str">
        <x:v>34757</x:v>
      </x:c>
      <x:c r="C18" s="34" t="str"/>
      <x:c r="D18" s="34" t="str">
        <x:v>Mandate of Special Rapporteur on the human right to a clean, healthy and sustainable environment</x:v>
      </x:c>
      <x:c r="E18" s="34" t="str"/>
      <x:c r="F18" s="34" t="str">
        <x:v>2024-04-03</x:v>
      </x:c>
      <x:c r="G18" s="34" t="str">
        <x:v>A/HRC/RES/55/2</x:v>
      </x:c>
      <x:c r="H18" s="34" t="str">
        <x:v>adopted</x:v>
      </x:c>
      <x:c r="I18" s="34" t="str"/>
      <x:c r="J18" s="34" t="str">
        <x:v>https://documents.un.org/api/symbol/access?l=en&amp;s=A%2FHRC%2F55%2F2&amp;t=pdf</x:v>
      </x:c>
    </x:row>
    <x:row r="19" ht="42" customHeight="1">
      <x:c r="A19" s="35" t="str">
        <x:v>55</x:v>
      </x:c>
      <x:c r="B19" s="35" t="str">
        <x:v>34757</x:v>
      </x:c>
      <x:c r="C19" s="35" t="str"/>
      <x:c r="D19" s="35" t="str">
        <x:v>Technical assistance and capacity-building for Mali in the field of human rights</x:v>
      </x:c>
      <x:c r="E19" s="35" t="str"/>
      <x:c r="F19" s="35" t="str">
        <x:v>2024-04-04</x:v>
      </x:c>
      <x:c r="G19" s="35" t="str">
        <x:v>A/HRC/RES/55/25</x:v>
      </x:c>
      <x:c r="H19" s="35" t="str">
        <x:v>adopted</x:v>
      </x:c>
      <x:c r="I19" s="35" t="str"/>
      <x:c r="J19" s="35" t="str">
        <x:v>https://documents.un.org/api/symbol/access?l=en&amp;s=A%2FHRC%2F55%2F2&amp;t=pdf</x:v>
      </x:c>
    </x:row>
    <x:row r="20" ht="42" customHeight="1">
      <x:c r="A20" s="34" t="str">
        <x:v>55</x:v>
      </x:c>
      <x:c r="B20" s="34" t="str">
        <x:v>34757</x:v>
      </x:c>
      <x:c r="C20" s="34" t="str"/>
      <x:c r="D20" s="34" t="str">
        <x:v>Technical assistance and capacity-building to improve the situation of human rights in Haiti, in connection with a request from the authorities of Haiti for coordinated and targeted international action</x:v>
      </x:c>
      <x:c r="E20" s="34" t="str"/>
      <x:c r="F20" s="34" t="str">
        <x:v>2024-04-04</x:v>
      </x:c>
      <x:c r="G20" s="34" t="str">
        <x:v>A/HRC/RES/55/24</x:v>
      </x:c>
      <x:c r="H20" s="34" t="str">
        <x:v>adopted</x:v>
      </x:c>
      <x:c r="I20" s="34" t="str"/>
      <x:c r="J20" s="34" t="str">
        <x:v>https://documents.un.org/api/symbol/access?l=en&amp;s=A%2FHRC%2F55%2F2&amp;t=pdf</x:v>
      </x:c>
    </x:row>
    <x:row r="21" ht="42" customHeight="1">
      <x:c r="A21" s="35" t="str">
        <x:v>55</x:v>
      </x:c>
      <x:c r="B21" s="35" t="str">
        <x:v>34757</x:v>
      </x:c>
      <x:c r="C21" s="35" t="str"/>
      <x:c r="D21" s="35" t="str">
        <x:v>Situation of human rights in Ukraine stemming from the Russian aggression</x:v>
      </x:c>
      <x:c r="E21" s="35" t="str"/>
      <x:c r="F21" s="35" t="str">
        <x:v>2024-04-04</x:v>
      </x:c>
      <x:c r="G21" s="35" t="str">
        <x:v>A/HRC/RES/55/23</x:v>
      </x:c>
      <x:c r="H21" s="35" t="str">
        <x:v>adopted</x:v>
      </x:c>
      <x:c r="I21" s="35" t="str"/>
      <x:c r="J21" s="35" t="str">
        <x:v>https://documents.un.org/api/symbol/access?l=en&amp;s=A%2FHRC%2F55%2F2&amp;t=pdf</x:v>
      </x:c>
    </x:row>
    <x:row r="22" ht="42" customHeight="1">
      <x:c r="A22" s="34" t="str">
        <x:v>55</x:v>
      </x:c>
      <x:c r="B22" s="34" t="str">
        <x:v>34757</x:v>
      </x:c>
      <x:c r="C22" s="34" t="str"/>
      <x:c r="D22" s="34" t="str">
        <x:v>Situation of human rights in the Syrian Arab Republic</x:v>
      </x:c>
      <x:c r="E22" s="34" t="str"/>
      <x:c r="F22" s="34" t="str">
        <x:v>2024-04-04</x:v>
      </x:c>
      <x:c r="G22" s="34" t="str">
        <x:v>A/HRC/RES/55/22</x:v>
      </x:c>
      <x:c r="H22" s="34" t="str">
        <x:v>adopted</x:v>
      </x:c>
      <x:c r="I22" s="34" t="str"/>
      <x:c r="J22" s="34" t="str">
        <x:v>https://documents.un.org/api/symbol/access?l=en&amp;s=A%2FHRC%2F55%2F2&amp;t=pdf</x:v>
      </x:c>
    </x:row>
    <x:row r="23" ht="42" customHeight="1">
      <x:c r="A23" s="35" t="str">
        <x:v>55</x:v>
      </x:c>
      <x:c r="B23" s="35" t="str">
        <x:v>34757</x:v>
      </x:c>
      <x:c r="C23" s="35" t="str"/>
      <x:c r="D23" s="35" t="str">
        <x:v>Israeli settlements in the Occupied Palestinian Territory, including East Jerusalem, and in the occupied Syrian Golan</x:v>
      </x:c>
      <x:c r="E23" s="35" t="str"/>
      <x:c r="F23" s="35" t="str">
        <x:v>2024-04-05</x:v>
      </x:c>
      <x:c r="G23" s="35" t="str">
        <x:v>A/HRC/RES/55/32</x:v>
      </x:c>
      <x:c r="H23" s="35" t="str">
        <x:v>adopted</x:v>
      </x:c>
      <x:c r="I23" s="35" t="str"/>
      <x:c r="J23" s="35" t="str">
        <x:v>https://documents.un.org/api/symbol/access?l=en&amp;s=A%2FHRC%2F55%2F2&amp;t=pdf</x:v>
      </x:c>
    </x:row>
    <x:row r="24" ht="42" customHeight="1">
      <x:c r="A24" s="34" t="str">
        <x:v>55</x:v>
      </x:c>
      <x:c r="B24" s="34" t="str">
        <x:v>34757</x:v>
      </x:c>
      <x:c r="C24" s="34" t="str"/>
      <x:c r="D24" s="34" t="str">
        <x:v>Situation of human rights in the Democratic People’s Republic of Korea</x:v>
      </x:c>
      <x:c r="E24" s="34" t="str"/>
      <x:c r="F24" s="34" t="str">
        <x:v>2024-04-04</x:v>
      </x:c>
      <x:c r="G24" s="34" t="str">
        <x:v>A/HRC/RES/55/21</x:v>
      </x:c>
      <x:c r="H24" s="34" t="str">
        <x:v>adopted</x:v>
      </x:c>
      <x:c r="I24" s="34" t="str"/>
      <x:c r="J24" s="34" t="str">
        <x:v>https://documents.un.org/api/symbol/access?l=en&amp;s=A%2FHRC%2F55%2F2&amp;t=pdf</x:v>
      </x:c>
    </x:row>
    <x:row r="25" ht="42" customHeight="1">
      <x:c r="A25" s="35" t="str">
        <x:v>55</x:v>
      </x:c>
      <x:c r="B25" s="35" t="str">
        <x:v>34757</x:v>
      </x:c>
      <x:c r="C25" s="35" t="str"/>
      <x:c r="D25" s="35" t="str">
        <x:v>Situation of human rights in Myanmar</x:v>
      </x:c>
      <x:c r="E25" s="35" t="str"/>
      <x:c r="F25" s="35" t="str">
        <x:v>2024-04-04</x:v>
      </x:c>
      <x:c r="G25" s="35" t="str">
        <x:v>A/HRC/RES/55/20</x:v>
      </x:c>
      <x:c r="H25" s="35" t="str">
        <x:v>adopted</x:v>
      </x:c>
      <x:c r="I25" s="35" t="str"/>
      <x:c r="J25" s="35" t="str">
        <x:v>https://documents.un.org/api/symbol/access?l=en&amp;s=A%2FHRC%2F55%2F2&amp;t=pdf</x:v>
      </x:c>
    </x:row>
    <x:row r="26" ht="42" customHeight="1">
      <x:c r="A26" s="34" t="str">
        <x:v>55</x:v>
      </x:c>
      <x:c r="B26" s="34" t="str">
        <x:v>34757</x:v>
      </x:c>
      <x:c r="C26" s="34" t="str"/>
      <x:c r="D26" s="34" t="str">
        <x:v>Situation of human rights in the Islamic Republic of Iran</x:v>
      </x:c>
      <x:c r="E26" s="34" t="str"/>
      <x:c r="F26" s="34" t="str">
        <x:v>2024-04-04</x:v>
      </x:c>
      <x:c r="G26" s="34" t="str">
        <x:v>A/HRC/RES/55/19</x:v>
      </x:c>
      <x:c r="H26" s="34" t="str">
        <x:v>adopted</x:v>
      </x:c>
      <x:c r="I26" s="34" t="str"/>
      <x:c r="J26" s="34" t="str">
        <x:v>https://documents.un.org/api/symbol/access?l=en&amp;s=A%2FHRC%2F55%2F2&amp;t=pdf</x:v>
      </x:c>
    </x:row>
    <x:row r="27" ht="42" customHeight="1">
      <x:c r="A27" s="35" t="str">
        <x:v>55</x:v>
      </x:c>
      <x:c r="B27" s="35" t="str">
        <x:v>34757</x:v>
      </x:c>
      <x:c r="C27" s="35" t="str"/>
      <x:c r="D27" s="35" t="str">
        <x:v>Mandate of Independent Expert on the enjoyment of human rights by persons with albinism</x:v>
      </x:c>
      <x:c r="E27" s="35" t="str"/>
      <x:c r="F27" s="35" t="str">
        <x:v>2024-04-04</x:v>
      </x:c>
      <x:c r="G27" s="35" t="str">
        <x:v>A/HRC/RES/55/18</x:v>
      </x:c>
      <x:c r="H27" s="35" t="str">
        <x:v>adopted</x:v>
      </x:c>
      <x:c r="I27" s="35" t="str"/>
      <x:c r="J27" s="35" t="str">
        <x:v>https://documents.un.org/api/symbol/access?l=en&amp;s=A%2FHRC%2F55%2F2&amp;t=pdf</x:v>
      </x:c>
    </x:row>
    <x:row r="28" ht="42" customHeight="1">
      <x:c r="A28" s="34" t="str">
        <x:v>55</x:v>
      </x:c>
      <x:c r="B28" s="34" t="str">
        <x:v>34757</x:v>
      </x:c>
      <x:c r="C28" s="34" t="str"/>
      <x:c r="D28" s="34" t="str">
        <x:v>Human rights and a culture of peace</x:v>
      </x:c>
      <x:c r="E28" s="34" t="str"/>
      <x:c r="F28" s="34" t="str">
        <x:v>2024-04-04</x:v>
      </x:c>
      <x:c r="G28" s="34" t="str">
        <x:v>A/HRC/RES/55/17</x:v>
      </x:c>
      <x:c r="H28" s="34" t="str">
        <x:v>adopted</x:v>
      </x:c>
      <x:c r="I28" s="34" t="str"/>
      <x:c r="J28" s="34" t="str">
        <x:v>https://documents.un.org/api/symbol/access?l=en&amp;s=A%2FHRC%2F55%2F2&amp;t=pdf</x:v>
      </x:c>
    </x:row>
    <x:row r="29" ht="42" customHeight="1">
      <x:c r="A29" s="35" t="str">
        <x:v>55</x:v>
      </x:c>
      <x:c r="B29" s="35" t="str">
        <x:v>34757</x:v>
      </x:c>
      <x:c r="C29" s="35" t="str"/>
      <x:c r="D29" s="35" t="str">
        <x:v>Freedom of religion or belief</x:v>
      </x:c>
      <x:c r="E29" s="35" t="str"/>
      <x:c r="F29" s="35" t="str">
        <x:v>2024-04-04</x:v>
      </x:c>
      <x:c r="G29" s="35" t="str">
        <x:v>A/HRC/RES/55/16</x:v>
      </x:c>
      <x:c r="H29" s="35" t="str">
        <x:v>adopted</x:v>
      </x:c>
      <x:c r="I29" s="35" t="str"/>
      <x:c r="J29" s="35" t="str">
        <x:v>https://documents.un.org/api/symbol/access?l=en&amp;s=A%2FHRC%2F55%2F2&amp;t=pdf</x:v>
      </x:c>
    </x:row>
    <x:row r="30" ht="42" customHeight="1">
      <x:c r="A30" s="34" t="str">
        <x:v>55</x:v>
      </x:c>
      <x:c r="B30" s="34" t="str">
        <x:v>34757</x:v>
      </x:c>
      <x:c r="C30" s="34" t="str"/>
      <x:c r="D30" s="34" t="str">
        <x:v>Rights of persons belonging to national or ethnic, religious and linguistic minorities</x:v>
      </x:c>
      <x:c r="E30" s="34" t="str"/>
      <x:c r="F30" s="34" t="str">
        <x:v>2024-04-04</x:v>
      </x:c>
      <x:c r="G30" s="34" t="str">
        <x:v>A/HRC/RES/55/15</x:v>
      </x:c>
      <x:c r="H30" s="34" t="str">
        <x:v>adopted</x:v>
      </x:c>
      <x:c r="I30" s="34" t="str"/>
      <x:c r="J30" s="34" t="str">
        <x:v>https://documents.un.org/api/symbol/access?l=en&amp;s=A%2FHRC%2F55%2F2&amp;t=pdf</x:v>
      </x:c>
    </x:row>
    <x:row r="31" ht="42" customHeight="1">
      <x:c r="A31" s="35" t="str">
        <x:v>55</x:v>
      </x:c>
      <x:c r="B31" s="35" t="str">
        <x:v>34757</x:v>
      </x:c>
      <x:c r="C31" s="35" t="str"/>
      <x:c r="D31" s="35" t="str">
        <x:v>Combating discrimination, violence and harmful practices against intersex persons</x:v>
      </x:c>
      <x:c r="E31" s="35" t="str"/>
      <x:c r="F31" s="35" t="str">
        <x:v>2024-04-04</x:v>
      </x:c>
      <x:c r="G31" s="35" t="str">
        <x:v>A/HRC/RES/55/14</x:v>
      </x:c>
      <x:c r="H31" s="35" t="str">
        <x:v>adopted</x:v>
      </x:c>
      <x:c r="I31" s="35" t="str"/>
      <x:c r="J31" s="35" t="str">
        <x:v>https://documents.un.org/api/symbol/access?l=en&amp;s=A%2FHRC%2F55%2F2&amp;t=pdf</x:v>
      </x:c>
    </x:row>
    <x:row r="32" ht="42" customHeight="1">
      <x:c r="A32" s="34" t="str">
        <x:v>55</x:v>
      </x:c>
      <x:c r="B32" s="34" t="str">
        <x:v>34757</x:v>
      </x:c>
      <x:c r="C32" s="34" t="str"/>
      <x:c r="D32" s="34" t="str">
        <x:v>Prevention of genocide</x:v>
      </x:c>
      <x:c r="E32" s="34" t="str"/>
      <x:c r="F32" s="34" t="str">
        <x:v>2024-04-03</x:v>
      </x:c>
      <x:c r="G32" s="34" t="str">
        <x:v>A/HRC/RES/55/13</x:v>
      </x:c>
      <x:c r="H32" s="34" t="str">
        <x:v>adopted</x:v>
      </x:c>
      <x:c r="I32" s="34" t="str"/>
      <x:c r="J32" s="34" t="str">
        <x:v>https://documents.un.org/api/symbol/access?l=en&amp;s=A%2FHRC%2F55%2F2&amp;t=pdf</x:v>
      </x:c>
    </x:row>
    <x:row r="33" ht="42" customHeight="1">
      <x:c r="A33" s="35" t="str">
        <x:v>55</x:v>
      </x:c>
      <x:c r="B33" s="35" t="str">
        <x:v>34757</x:v>
      </x:c>
      <x:c r="C33" s="35" t="str"/>
      <x:c r="D33" s="35" t="str">
        <x:v>Torture and other cruel, inhuman or degrading treatment or punishment: effective national legislative, administrative, judicial or other measures to prevent acts of torture</x:v>
      </x:c>
      <x:c r="E33" s="35" t="str"/>
      <x:c r="F33" s="35" t="str">
        <x:v>2024-04-03</x:v>
      </x:c>
      <x:c r="G33" s="35" t="str">
        <x:v>A/HRC/RES/55/12</x:v>
      </x:c>
      <x:c r="H33" s="35" t="str">
        <x:v>adopted</x:v>
      </x:c>
      <x:c r="I33" s="35" t="str"/>
      <x:c r="J33" s="35" t="str">
        <x:v>https://documents.un.org/api/symbol/access?l=en&amp;s=A%2FHRC%2F55%2F2&amp;t=pdf</x:v>
      </x:c>
    </x:row>
    <x:row r="34" ht="42" customHeight="1">
      <x:c r="A34" s="34" t="str">
        <x:v>55</x:v>
      </x:c>
      <x:c r="B34" s="34" t="str">
        <x:v>34757</x:v>
      </x:c>
      <x:c r="C34" s="34" t="str"/>
      <x:c r="D34" s="34" t="str">
        <x:v>Adequate housing as a component of the right to an adequate standard of living, and the right to non-discrimination in this context</x:v>
      </x:c>
      <x:c r="E34" s="34" t="str"/>
      <x:c r="F34" s="34" t="str">
        <x:v>2024-04-03</x:v>
      </x:c>
      <x:c r="G34" s="34" t="str">
        <x:v>A/HRC/RES/55/11</x:v>
      </x:c>
      <x:c r="H34" s="34" t="str">
        <x:v>adopted</x:v>
      </x:c>
      <x:c r="I34" s="34" t="str"/>
      <x:c r="J34" s="34" t="str">
        <x:v>https://documents.un.org/api/symbol/access?l=en&amp;s=A%2FHRC%2F55%2F2&amp;t=pdf</x:v>
      </x:c>
    </x:row>
    <x:row r="35" ht="42" customHeight="1">
      <x:c r="A35" s="35" t="str">
        <x:v>55</x:v>
      </x:c>
      <x:c r="B35" s="35" t="str">
        <x:v>34757</x:v>
      </x:c>
      <x:c r="C35" s="35" t="str"/>
      <x:c r="D35" s="35" t="str">
        <x:v>Role of States in countering the negative impact of disinformation on the enjoyment and realization of human rights</x:v>
      </x:c>
      <x:c r="E35" s="35" t="str"/>
      <x:c r="F35" s="35" t="str">
        <x:v>2024-04-03</x:v>
      </x:c>
      <x:c r="G35" s="35" t="str">
        <x:v>A/HRC/RES/55/10</x:v>
      </x:c>
      <x:c r="H35" s="35" t="str">
        <x:v>adopted</x:v>
      </x:c>
      <x:c r="I35" s="35" t="str"/>
      <x:c r="J35" s="35" t="str">
        <x:v>https://documents.un.org/api/symbol/access?l=en&amp;s=A%2FHRC%2F55%2F2&amp;t=pdf</x:v>
      </x:c>
    </x:row>
    <x:row r="36" ht="42" customHeight="1">
      <x:c r="A36" s="34" t="str">
        <x:v>55</x:v>
      </x:c>
      <x:c r="B36" s="34" t="str">
        <x:v>34757</x:v>
      </x:c>
      <x:c r="C36" s="34" t="str"/>
      <x:c r="D36" s="34" t="str">
        <x:v>Right to work</x:v>
      </x:c>
      <x:c r="E36" s="34" t="str"/>
      <x:c r="F36" s="34" t="str">
        <x:v>2024-04-03</x:v>
      </x:c>
      <x:c r="G36" s="34" t="str">
        <x:v>A/HRC/RES/55/9</x:v>
      </x:c>
      <x:c r="H36" s="34" t="str">
        <x:v>adopted</x:v>
      </x:c>
      <x:c r="I36" s="34" t="str"/>
      <x:c r="J36" s="34" t="str">
        <x:v>https://documents.un.org/api/symbol/access?l=en&amp;s=A%2FHRC%2F55%2F2&amp;t=pdf</x:v>
      </x:c>
    </x:row>
    <x:row r="37" ht="42" customHeight="1">
      <x:c r="A37" s="35" t="str">
        <x:v>55</x:v>
      </x:c>
      <x:c r="B37" s="35" t="str">
        <x:v>34757</x:v>
      </x:c>
      <x:c r="C37" s="35" t="str"/>
      <x:c r="D37" s="35" t="str">
        <x:v>Advancing human rights in South Sudan</x:v>
      </x:c>
      <x:c r="E37" s="35" t="str"/>
      <x:c r="F37" s="35" t="str">
        <x:v>2024-04-03</x:v>
      </x:c>
      <x:c r="G37" s="35" t="str">
        <x:v>A/HRC/RES/55/1</x:v>
      </x:c>
      <x:c r="H37" s="35" t="str">
        <x:v>adopted</x:v>
      </x:c>
      <x:c r="I37" s="35" t="str"/>
      <x:c r="J37" s="35" t="str">
        <x:v>https://documents.un.org/api/symbol/access?l=en&amp;s=A%2FHRC%2F55%2F2&amp;t=pdf</x:v>
      </x:c>
    </x:row>
    <x:row r="38" ht="42" customHeight="1">
      <x:c r="A38" s="34" t="str">
        <x:v>56</x:v>
      </x:c>
      <x:c r="B38" s="34" t="str">
        <x:v>18879</x:v>
      </x:c>
      <x:c r="C38" s="34" t="str">
        <x:v>A/HRC/56/L.1</x:v>
      </x:c>
      <x:c r="D38" s="34" t="str">
        <x:v>Enhancement of international cooperation in the field of human rights</x:v>
      </x:c>
      <x:c r="E38" s="34" t="str">
        <x:v>Uganda (on behalf of the Movement of Non-Aligned Countries</x:v>
      </x:c>
      <x:c r="F38" s="34" t="n">
        <x:v>45471.532638888886</x:v>
      </x:c>
      <x:c r="G38" s="34" t="str">
        <x:v>A/HRC/RES/56/2</x:v>
      </x:c>
      <x:c r="H38" s="34" t="str">
        <x:v>adopted</x:v>
      </x:c>
      <x:c r="I38" s="34" t="str">
        <x:v>Adopted by vote: 31-14-2</x:v>
      </x:c>
      <x:c r="J38" s="34" t="str">
        <x:v>https://hrcportal.ohchr.org/draft-resolutions?sessionID=18879&amp;page=0</x:v>
      </x:c>
    </x:row>
    <x:row r="39" ht="42" customHeight="1">
      <x:c r="A39" s="35" t="str">
        <x:v>56</x:v>
      </x:c>
      <x:c r="B39" s="35" t="str">
        <x:v>18879</x:v>
      </x:c>
      <x:c r="C39" s="35" t="str">
        <x:v>A/HRC/56/L.10</x:v>
      </x:c>
      <x:c r="D39" s="35" t="str">
        <x:v>OBSOLETE</x:v>
      </x:c>
      <x:c r="E39" s="35" t="str">
        <x:v>Kyrgyzstan, Latvia, Paraguay, Sierra Leone, Sweden, United Kingdom of Great Britain and Northern Ireland</x:v>
      </x:c>
      <x:c r="F39" s="35" t="n">
        <x:v>45475.37569444445</x:v>
      </x:c>
      <x:c r="G39" s="35" t="str"/>
      <x:c r="H39" s="35" t="str">
        <x:v>obsolete/superseded</x:v>
      </x:c>
      <x:c r="I39" s="35" t="str"/>
      <x:c r="J39" s="35" t="str">
        <x:v>https://hrcportal.ohchr.org/draft-resolutions?sessionID=18879&amp;page=1</x:v>
      </x:c>
    </x:row>
    <x:row r="40" ht="42" customHeight="1">
      <x:c r="A40" s="34" t="str">
        <x:v>56</x:v>
      </x:c>
      <x:c r="B40" s="34" t="str">
        <x:v>18879</x:v>
      </x:c>
      <x:c r="C40" s="34" t="str">
        <x:v>A/HRC/56/L.10/Rev.1</x:v>
      </x:c>
      <x:c r="D40" s="34" t="str">
        <x:v>Informing the Human Rights Council on the Human Rights Advisers Programme</x:v>
      </x:c>
      <x:c r="E40" s="34" t="str">
        <x:v>Kyrgyzstan, Latvia, Paraguay, Sierra Leone, Sweden, United Kingdom of Great Britain and Northern Ireland</x:v>
      </x:c>
      <x:c r="F40" s="34" t="n">
        <x:v>45481.35972222222</x:v>
      </x:c>
      <x:c r="G40" s="34" t="str">
        <x:v>A/HRC/RES/56/15</x:v>
      </x:c>
      <x:c r="H40" s="34" t="str">
        <x:v>adopted</x:v>
      </x:c>
      <x:c r="I40" s="34" t="str">
        <x:v>Adopted without a vote</x:v>
      </x:c>
      <x:c r="J40" s="34" t="str">
        <x:v>https://hrcportal.ohchr.org/draft-resolutions?sessionID=18879&amp;page=1</x:v>
      </x:c>
    </x:row>
    <x:row r="41" ht="42" customHeight="1">
      <x:c r="A41" s="35" t="str">
        <x:v>56</x:v>
      </x:c>
      <x:c r="B41" s="35" t="str">
        <x:v>18879</x:v>
      </x:c>
      <x:c r="C41" s="35" t="str">
        <x:v>A/HRC/56/L.11</x:v>
      </x:c>
      <x:c r="D41" s="35" t="str">
        <x:v>OBSOLETE</x:v>
      </x:c>
      <x:c r="E41" s="35" t="str">
        <x:v>Egypt, Kazakhstan, Malaysia, Senegal, Singapore, United Arab Emirates</x:v>
      </x:c>
      <x:c r="F41" s="35" t="n">
        <x:v>45475.38333333333</x:v>
      </x:c>
      <x:c r="G41" s="35" t="str"/>
      <x:c r="H41" s="35" t="str">
        <x:v>obsolete/superseded</x:v>
      </x:c>
      <x:c r="I41" s="35" t="str"/>
      <x:c r="J41" s="35" t="str">
        <x:v>https://hrcportal.ohchr.org/draft-resolutions?sessionID=18879&amp;page=1</x:v>
      </x:c>
    </x:row>
    <x:row r="42" ht="42" customHeight="1">
      <x:c r="A42" s="34" t="str">
        <x:v>56</x:v>
      </x:c>
      <x:c r="B42" s="34" t="str">
        <x:v>18879</x:v>
      </x:c>
      <x:c r="C42" s="34" t="str">
        <x:v>A/HRC/56/L.11/Rev.1</x:v>
      </x:c>
      <x:c r="D42" s="34" t="str">
        <x:v>Safety of the child in the digital environment</x:v>
      </x:c>
      <x:c r="E42" s="34" t="str">
        <x:v>Egypt, Kazakhstan, Malaysia, Senegal, Singapore, United Arab Emirates</x:v>
      </x:c>
      <x:c r="F42" s="34" t="n">
        <x:v>45478.45486111111</x:v>
      </x:c>
      <x:c r="G42" s="34" t="str">
        <x:v>A/HRC/RES/56/6</x:v>
      </x:c>
      <x:c r="H42" s="34" t="str">
        <x:v>adopted</x:v>
      </x:c>
      <x:c r="I42" s="34" t="str">
        <x:v>Adopted without a vote</x:v>
      </x:c>
      <x:c r="J42" s="34" t="str">
        <x:v>https://hrcportal.ohchr.org/draft-resolutions?sessionID=18879&amp;page=1</x:v>
      </x:c>
    </x:row>
    <x:row r="43" ht="42" customHeight="1">
      <x:c r="A43" s="35" t="str">
        <x:v>56</x:v>
      </x:c>
      <x:c r="B43" s="35" t="str">
        <x:v>18879</x:v>
      </x:c>
      <x:c r="C43" s="35" t="str">
        <x:v>A/HRC/56/L.12</x:v>
      </x:c>
      <x:c r="D43" s="35" t="str">
        <x:v>Freedom of opinion and expression</x:v>
      </x:c>
      <x:c r="E43" s="35" t="str">
        <x:v>Netherlands (Kingdom of the), Brazil, Canada, Fiji, Namibia, Sweden</x:v>
      </x:c>
      <x:c r="F43" s="35" t="n">
        <x:v>45475.385416666664</x:v>
      </x:c>
      <x:c r="G43" s="35" t="str">
        <x:v>A/HRC/RES/56/7</x:v>
      </x:c>
      <x:c r="H43" s="35" t="str">
        <x:v>adopted</x:v>
      </x:c>
      <x:c r="I43" s="35" t="str">
        <x:v>Adopted without a vote</x:v>
      </x:c>
      <x:c r="J43" s="35" t="str">
        <x:v>https://hrcportal.ohchr.org/draft-resolutions?sessionID=18879&amp;page=1</x:v>
      </x:c>
    </x:row>
    <x:row r="44" ht="42" customHeight="1">
      <x:c r="A44" s="34" t="str">
        <x:v>56</x:v>
      </x:c>
      <x:c r="B44" s="34" t="str">
        <x:v>18879</x:v>
      </x:c>
      <x:c r="C44" s="34" t="str">
        <x:v>A/HRC/56/L.13</x:v>
      </x:c>
      <x:c r="D44" s="34" t="str">
        <x:v>Human rights in the context of HIV and AIDS</x:v>
      </x:c>
      <x:c r="E44" s="34" t="str">
        <x:v>Brazil, Colombia, Portugal, Thailand</x:v>
      </x:c>
      <x:c r="F44" s="34" t="n">
        <x:v>45475.399305555555</x:v>
      </x:c>
      <x:c r="G44" s="34" t="str">
        <x:v>A/HRC/RES/56/20</x:v>
      </x:c>
      <x:c r="H44" s="34" t="str">
        <x:v>adopted</x:v>
      </x:c>
      <x:c r="I44" s="34" t="str">
        <x:v>Adopted without a vote Oral Revision - A/HRC/56/L.13</x:v>
      </x:c>
      <x:c r="J44" s="34" t="str">
        <x:v>https://hrcportal.ohchr.org/draft-resolutions?sessionID=18879&amp;page=1</x:v>
      </x:c>
    </x:row>
    <x:row r="45" ht="42" customHeight="1">
      <x:c r="A45" s="35" t="str">
        <x:v>56</x:v>
      </x:c>
      <x:c r="B45" s="35" t="str">
        <x:v>18879</x:v>
      </x:c>
      <x:c r="C45" s="35" t="str">
        <x:v>A/HRC/56/L.14</x:v>
      </x:c>
      <x:c r="D45" s="35" t="str">
        <x:v>OBSOLETE</x:v>
      </x:c>
      <x:c r="E45" s="35" t="str">
        <x:v>Viet Nam, Bangladesh, Philippines</x:v>
      </x:c>
      <x:c r="F45" s="35" t="n">
        <x:v>45475.41875</x:v>
      </x:c>
      <x:c r="G45" s="35" t="str"/>
      <x:c r="H45" s="35" t="str">
        <x:v>obsolete/superseded</x:v>
      </x:c>
      <x:c r="I45" s="35" t="str"/>
      <x:c r="J45" s="35" t="str">
        <x:v>https://hrcportal.ohchr.org/draft-resolutions?sessionID=18879&amp;page=1</x:v>
      </x:c>
    </x:row>
    <x:row r="46" ht="42" customHeight="1">
      <x:c r="A46" s="34" t="str">
        <x:v>56</x:v>
      </x:c>
      <x:c r="B46" s="34" t="str">
        <x:v>18879</x:v>
      </x:c>
      <x:c r="C46" s="34" t="str">
        <x:v>A/HRC/56/L.14/Rev.1</x:v>
      </x:c>
      <x:c r="D46" s="34" t="str">
        <x:v>Human rights and climate change</x:v>
      </x:c>
      <x:c r="E46" s="34" t="str">
        <x:v>Viet Nam, Bangladesh, Philippines</x:v>
      </x:c>
      <x:c r="F46" s="34" t="n">
        <x:v>45478.458333333336</x:v>
      </x:c>
      <x:c r="G46" s="34" t="str">
        <x:v>A/HRC/RES/56/8</x:v>
      </x:c>
      <x:c r="H46" s="34" t="str">
        <x:v>adopted</x:v>
      </x:c>
      <x:c r="I46" s="34" t="str">
        <x:v>Adopted without a vote</x:v>
      </x:c>
      <x:c r="J46" s="34" t="str">
        <x:v>https://hrcportal.ohchr.org/draft-resolutions?sessionID=18879&amp;page=1</x:v>
      </x:c>
    </x:row>
    <x:row r="47" ht="42" customHeight="1">
      <x:c r="A47" s="35" t="str">
        <x:v>56</x:v>
      </x:c>
      <x:c r="B47" s="35" t="str">
        <x:v>18879</x:v>
      </x:c>
      <x:c r="C47" s="35" t="str">
        <x:v>A/HRC/56/L.15</x:v>
      </x:c>
      <x:c r="D47" s="35" t="str">
        <x:v>Technology-facilitated gender-based violence</x:v>
      </x:c>
      <x:c r="E47" s="35" t="str">
        <x:v>Belgium, Albania, Bolivia (Plurinational State of), Kazakhstan, Kyrgyzstan, Morocco</x:v>
      </x:c>
      <x:c r="F47" s="35" t="n">
        <x:v>45475.43125</x:v>
      </x:c>
      <x:c r="G47" s="35" t="str">
        <x:v>A/HRC/RES/56/19</x:v>
      </x:c>
      <x:c r="H47" s="35" t="str">
        <x:v>adopted</x:v>
      </x:c>
      <x:c r="I47" s="35" t="str">
        <x:v>Adopted without a vote Oral Revision - A/HRC/56/L.15</x:v>
      </x:c>
      <x:c r="J47" s="35" t="str">
        <x:v>https://hrcportal.ohchr.org/draft-resolutions?sessionID=18879&amp;page=2</x:v>
      </x:c>
    </x:row>
    <x:row r="48" ht="42" customHeight="1">
      <x:c r="A48" s="34" t="str">
        <x:v>56</x:v>
      </x:c>
      <x:c r="B48" s="34" t="str">
        <x:v>18879</x:v>
      </x:c>
      <x:c r="C48" s="34" t="str">
        <x:v>A/HRC/56/L.16</x:v>
      </x:c>
      <x:c r="D48" s="34" t="str">
        <x:v>Situation of human rights in Eritrea</x:v>
      </x:c>
      <x:c r="E48" s="34" t="str">
        <x:v>Hungary (on behalf of the European Union)</x:v>
      </x:c>
      <x:c r="F48" s="34" t="n">
        <x:v>45475.45</x:v>
      </x:c>
      <x:c r="G48" s="34" t="str">
        <x:v>A/HRC/RES/56/17</x:v>
      </x:c>
      <x:c r="H48" s="34" t="str">
        <x:v>adopted</x:v>
      </x:c>
      <x:c r="I48" s="34" t="str">
        <x:v>Adopted by vote: 20-8-19</x:v>
      </x:c>
      <x:c r="J48" s="34" t="str">
        <x:v>https://hrcportal.ohchr.org/draft-resolutions?sessionID=18879&amp;page=2</x:v>
      </x:c>
    </x:row>
    <x:row r="49" ht="42" customHeight="1">
      <x:c r="A49" s="35" t="str">
        <x:v>56</x:v>
      </x:c>
      <x:c r="B49" s="35" t="str">
        <x:v>18879</x:v>
      </x:c>
      <x:c r="C49" s="35" t="str">
        <x:v>A/HRC/56/L.17</x:v>
      </x:c>
      <x:c r="D49" s="35" t="str">
        <x:v>Enhancing the support capabilities of the open-ended intergovernmental working group on transnational corporations and other business enterprises with respect to human rights, established by Human Rights Council resolution 26/9</x:v>
      </x:c>
      <x:c r="E49" s="35" t="str">
        <x:v>Ecuador</x:v>
      </x:c>
      <x:c r="F49" s="35" t="n">
        <x:v>45475.45486111111</x:v>
      </x:c>
      <x:c r="G49" s="35" t="str"/>
      <x:c r="H49" s="35" t="str">
        <x:v>tabled; no final resolution shown</x:v>
      </x:c>
      <x:c r="I49" s="35" t="str">
        <x:v>Adopted without a vote</x:v>
      </x:c>
      <x:c r="J49" s="35" t="str">
        <x:v>https://hrcportal.ohchr.org/draft-resolutions?sessionID=18879&amp;page=2</x:v>
      </x:c>
    </x:row>
    <x:row r="50" ht="42" customHeight="1">
      <x:c r="A50" s="34" t="str">
        <x:v>56</x:v>
      </x:c>
      <x:c r="B50" s="34" t="str">
        <x:v>18879</x:v>
      </x:c>
      <x:c r="C50" s="34" t="str">
        <x:v>A/HRC/56/L.18</x:v>
      </x:c>
      <x:c r="D50" s="34" t="str">
        <x:v>OBSOLETE</x:v>
      </x:c>
      <x:c r="E50" s="34" t="str">
        <x:v>Pakistan (on behalf of the Organization of Islamic Cooperation)</x:v>
      </x:c>
      <x:c r="F50" s="34" t="n">
        <x:v>45475.455555555556</x:v>
      </x:c>
      <x:c r="G50" s="34" t="str"/>
      <x:c r="H50" s="34" t="str">
        <x:v>obsolete/superseded</x:v>
      </x:c>
      <x:c r="I50" s="34" t="str"/>
      <x:c r="J50" s="34" t="str">
        <x:v>https://hrcportal.ohchr.org/draft-resolutions?sessionID=18879&amp;page=2</x:v>
      </x:c>
    </x:row>
    <x:row r="51" ht="42" customHeight="1">
      <x:c r="A51" s="35" t="str">
        <x:v>56</x:v>
      </x:c>
      <x:c r="B51" s="35" t="str">
        <x:v>18879</x:v>
      </x:c>
      <x:c r="C51" s="35" t="str">
        <x:v>A/HRC/56/L.18/Rev.1</x:v>
      </x:c>
      <x:c r="D51" s="35" t="str">
        <x:v>Situation of human rights of Rohingya Muslims and other minorities in Myanmar</x:v>
      </x:c>
      <x:c r="E51" s="35" t="str">
        <x:v>Pakistan (on behalf of the Organization of Islamic Cooperation)</x:v>
      </x:c>
      <x:c r="F51" s="35" t="n">
        <x:v>45481.375</x:v>
      </x:c>
      <x:c r="G51" s="35" t="str">
        <x:v>A/HRC/RES/56/1</x:v>
      </x:c>
      <x:c r="H51" s="35" t="str">
        <x:v>adopted</x:v>
      </x:c>
      <x:c r="I51" s="35" t="str">
        <x:v>Adopted without a vote</x:v>
      </x:c>
      <x:c r="J51" s="35" t="str">
        <x:v>https://hrcportal.ohchr.org/draft-resolutions?sessionID=18879&amp;page=2</x:v>
      </x:c>
    </x:row>
    <x:row r="52" ht="42" customHeight="1">
      <x:c r="A52" s="34" t="str">
        <x:v>56</x:v>
      </x:c>
      <x:c r="B52" s="34" t="str">
        <x:v>18879</x:v>
      </x:c>
      <x:c r="C52" s="34" t="str">
        <x:v>A/HRC/56/L.19</x:v>
      </x:c>
      <x:c r="D52" s="34" t="str">
        <x:v>OBSOLETE</x:v>
      </x:c>
      <x:c r="E52" s="34" t="str">
        <x:v>Switzerland, Costa Rica</x:v>
      </x:c>
      <x:c r="F52" s="34" t="n">
        <x:v>45475.45694444444</x:v>
      </x:c>
      <x:c r="G52" s="34" t="str"/>
      <x:c r="H52" s="34" t="str">
        <x:v>obsolete/superseded</x:v>
      </x:c>
      <x:c r="I52" s="34" t="str"/>
      <x:c r="J52" s="34" t="str">
        <x:v>https://hrcportal.ohchr.org/draft-resolutions?sessionID=18879&amp;page=2</x:v>
      </x:c>
    </x:row>
    <x:row r="53" ht="42" customHeight="1">
      <x:c r="A53" s="35" t="str">
        <x:v>56</x:v>
      </x:c>
      <x:c r="B53" s="35" t="str">
        <x:v>18879</x:v>
      </x:c>
      <x:c r="C53" s="35" t="str">
        <x:v>A/HRC/56/L.19/Rev.1</x:v>
      </x:c>
      <x:c r="D53" s="35" t="str">
        <x:v>The promotion and protection of human rights in the context of peaceful protests</x:v>
      </x:c>
      <x:c r="E53" s="35" t="str">
        <x:v>Switzerland, Costa Rica</x:v>
      </x:c>
      <x:c r="F53" s="35" t="n">
        <x:v>45481.36388888889</x:v>
      </x:c>
      <x:c r="G53" s="35" t="str">
        <x:v>A/HRC/RES/56/10</x:v>
      </x:c>
      <x:c r="H53" s="35" t="str">
        <x:v>adopted</x:v>
      </x:c>
      <x:c r="I53" s="35" t="str">
        <x:v>Adopted without a vote</x:v>
      </x:c>
      <x:c r="J53" s="35" t="str">
        <x:v>https://hrcportal.ohchr.org/draft-resolutions?sessionID=18879&amp;page=2</x:v>
      </x:c>
    </x:row>
    <x:row r="54" ht="42" customHeight="1">
      <x:c r="A54" s="34" t="str">
        <x:v>56</x:v>
      </x:c>
      <x:c r="B54" s="34" t="str">
        <x:v>18879</x:v>
      </x:c>
      <x:c r="C54" s="34" t="str">
        <x:v>A/HRC/56/L.2</x:v>
      </x:c>
      <x:c r="D54" s="34" t="str">
        <x:v>Enhancement of technical cooperation and capacity-building in the field of human rights in Colombia to implement the recommendations of the Commission for the Clarification of Truth, Coexistence and Non-Repetition: follow-up to HRC resolution 53/22</x:v>
      </x:c>
      <x:c r="E54" s="34" t="str">
        <x:v>Colombia</x:v>
      </x:c>
      <x:c r="F54" s="34" t="n">
        <x:v>45474.339583333334</x:v>
      </x:c>
      <x:c r="G54" s="34" t="str">
        <x:v>A/HRC/RES/56/14</x:v>
      </x:c>
      <x:c r="H54" s="34" t="str">
        <x:v>adopted</x:v>
      </x:c>
      <x:c r="I54" s="34" t="str">
        <x:v>Adopted without a vote</x:v>
      </x:c>
      <x:c r="J54" s="34" t="str">
        <x:v>https://hrcportal.ohchr.org/draft-resolutions?sessionID=18879&amp;page=0</x:v>
      </x:c>
    </x:row>
    <x:row r="55" ht="42" customHeight="1">
      <x:c r="A55" s="35" t="str">
        <x:v>56</x:v>
      </x:c>
      <x:c r="B55" s="35" t="str">
        <x:v>18879</x:v>
      </x:c>
      <x:c r="C55" s="35" t="str">
        <x:v>A/HRC/56/L.20</x:v>
      </x:c>
      <x:c r="D55" s="35" t="str">
        <x:v>OBSOLETE</x:v>
      </x:c>
      <x:c r="E55" s="35" t="str">
        <x:v>Pakistan (on behalf of the Organization of Islamic Cooperation)</x:v>
      </x:c>
      <x:c r="F55" s="35" t="n">
        <x:v>45475.291666666664</x:v>
      </x:c>
      <x:c r="G55" s="35" t="str"/>
      <x:c r="H55" s="35" t="str">
        <x:v>obsolete/superseded</x:v>
      </x:c>
      <x:c r="I55" s="35" t="str"/>
      <x:c r="J55" s="35" t="str">
        <x:v>https://hrcportal.ohchr.org/draft-resolutions?sessionID=18879&amp;page=2</x:v>
      </x:c>
    </x:row>
    <x:row r="56" ht="42" customHeight="1">
      <x:c r="A56" s="34" t="str">
        <x:v>56</x:v>
      </x:c>
      <x:c r="B56" s="34" t="str">
        <x:v>18879</x:v>
      </x:c>
      <x:c r="C56" s="34" t="str">
        <x:v>A/HRC/56/L.20/Rev.1</x:v>
      </x:c>
      <x:c r="D56" s="34" t="str">
        <x:v>Countering religious hatred constituting incitement to discrimination, hostility or violence</x:v>
      </x:c>
      <x:c r="E56" s="34" t="str">
        <x:v>Pakistan (on behalf of the Organization of Islamic Cooperation)</x:v>
      </x:c>
      <x:c r="F56" s="34" t="n">
        <x:v>45481.29305555556</x:v>
      </x:c>
      <x:c r="G56" s="34" t="str"/>
      <x:c r="H56" s="34" t="str">
        <x:v>tabled; no final resolution shown</x:v>
      </x:c>
      <x:c r="I56" s="34" t="str">
        <x:v>Withdrawn</x:v>
      </x:c>
      <x:c r="J56" s="34" t="str">
        <x:v>https://hrcportal.ohchr.org/draft-resolutions?sessionID=18879&amp;page=2</x:v>
      </x:c>
    </x:row>
    <x:row r="57" ht="42" customHeight="1">
      <x:c r="A57" s="35" t="str">
        <x:v>56</x:v>
      </x:c>
      <x:c r="B57" s="35" t="str">
        <x:v>18879</x:v>
      </x:c>
      <x:c r="C57" s="35" t="str">
        <x:v>A/HRC/56/L.21</x:v>
      </x:c>
      <x:c r="D57" s="35" t="str">
        <x:v>Mandate of the International Independent Expert Mechanism to Advance Racial Justice and Equality in Law Enforcement</x:v>
      </x:c>
      <x:c r="E57" s="35" t="str">
        <x:v>Gambia (on behalf of the Group of African States)</x:v>
      </x:c>
      <x:c r="F57" s="35" t="n">
        <x:v>45476.41388888889</x:v>
      </x:c>
      <x:c r="G57" s="35" t="str">
        <x:v>A/HRC/RES/56/13</x:v>
      </x:c>
      <x:c r="H57" s="35" t="str">
        <x:v>adopted</x:v>
      </x:c>
      <x:c r="I57" s="35" t="str">
        <x:v>Adopted without a vote</x:v>
      </x:c>
      <x:c r="J57" s="35" t="str">
        <x:v>https://hrcportal.ohchr.org/draft-resolutions?sessionID=18879&amp;page=2</x:v>
      </x:c>
    </x:row>
    <x:row r="58" ht="42" customHeight="1">
      <x:c r="A58" s="34" t="str">
        <x:v>56</x:v>
      </x:c>
      <x:c r="B58" s="34" t="str">
        <x:v>18879</x:v>
      </x:c>
      <x:c r="C58" s="34" t="str">
        <x:v>A/HRC/56/L.22</x:v>
      </x:c>
      <x:c r="D58" s="34" t="str">
        <x:v>Technical assistance and capacity-building to improve human rights in Libya</x:v>
      </x:c>
      <x:c r="E58" s="34" t="str">
        <x:v>Gambia (on behalf of the Group of African States)</x:v>
      </x:c>
      <x:c r="F58" s="34" t="n">
        <x:v>45476.41527777778</x:v>
      </x:c>
      <x:c r="G58" s="34" t="str">
        <x:v>A/HRC/RES/56/16</x:v>
      </x:c>
      <x:c r="H58" s="34" t="str">
        <x:v>adopted</x:v>
      </x:c>
      <x:c r="I58" s="34" t="str">
        <x:v>Adopted without a vote</x:v>
      </x:c>
      <x:c r="J58" s="34" t="str">
        <x:v>https://hrcportal.ohchr.org/draft-resolutions?sessionID=18879&amp;page=3</x:v>
      </x:c>
    </x:row>
    <x:row r="59" ht="42" customHeight="1">
      <x:c r="A59" s="35" t="str">
        <x:v>56</x:v>
      </x:c>
      <x:c r="B59" s="35" t="str">
        <x:v>18879</x:v>
      </x:c>
      <x:c r="C59" s="35" t="str">
        <x:v>A/HRC/56/L.23</x:v>
      </x:c>
      <x:c r="D59" s="35" t="str">
        <x:v>Plastic pollution implications on the full enjoyment of human rights</x:v>
      </x:c>
      <x:c r="E59" s="35" t="str">
        <x:v>Panama, Costa Rica, Ecuador, Peru</x:v>
      </x:c>
      <x:c r="F59" s="35" t="n">
        <x:v>45476.42847222222</x:v>
      </x:c>
      <x:c r="G59" s="35" t="str"/>
      <x:c r="H59" s="35" t="str">
        <x:v>tabled; no final resolution shown</x:v>
      </x:c>
      <x:c r="I59" s="35" t="str">
        <x:v>Adopted without a vote</x:v>
      </x:c>
      <x:c r="J59" s="35" t="str">
        <x:v>https://hrcportal.ohchr.org/draft-resolutions?sessionID=18879&amp;page=3</x:v>
      </x:c>
    </x:row>
    <x:row r="60" ht="42" customHeight="1">
      <x:c r="A60" s="34" t="str">
        <x:v>56</x:v>
      </x:c>
      <x:c r="B60" s="34" t="str">
        <x:v>18879</x:v>
      </x:c>
      <x:c r="C60" s="34" t="str">
        <x:v>A/HRC/56/L.24</x:v>
      </x:c>
      <x:c r="D60" s="34" t="str">
        <x:v>Accelerating progress towards preventing adolescent girls’ pregnancy</x:v>
      </x:c>
      <x:c r="E60" s="34" t="str">
        <x:v>Mauritius, Panama</x:v>
      </x:c>
      <x:c r="F60" s="34" t="n">
        <x:v>45476.447222222225</x:v>
      </x:c>
      <x:c r="G60" s="34" t="str">
        <x:v>A/HRC/RES/56/21</x:v>
      </x:c>
      <x:c r="H60" s="34" t="str">
        <x:v>adopted</x:v>
      </x:c>
      <x:c r="I60" s="34" t="str">
        <x:v>Adopted without a vote Oral Revision - A/HRC/56/L.24</x:v>
      </x:c>
      <x:c r="J60" s="34" t="str">
        <x:v>https://hrcportal.ohchr.org/draft-resolutions?sessionID=18879&amp;page=3</x:v>
      </x:c>
    </x:row>
    <x:row r="61" ht="42" customHeight="1">
      <x:c r="A61" s="35" t="str">
        <x:v>56</x:v>
      </x:c>
      <x:c r="B61" s="35" t="str">
        <x:v>18879</x:v>
      </x:c>
      <x:c r="C61" s="35" t="str">
        <x:v>A/HRC/56/L.25</x:v>
      </x:c>
      <x:c r="D61" s="35" t="str">
        <x:v>OBSOLETE</x:v>
      </x:c>
      <x:c r="E61" s="35" t="str">
        <x:v>Mexico, Chile</x:v>
      </x:c>
      <x:c r="F61" s="35" t="n">
        <x:v>45476.45</x:v>
      </x:c>
      <x:c r="G61" s="35" t="str"/>
      <x:c r="H61" s="35" t="str">
        <x:v>obsolete/superseded</x:v>
      </x:c>
      <x:c r="I61" s="35" t="str"/>
      <x:c r="J61" s="35" t="str">
        <x:v>https://hrcportal.ohchr.org/draft-resolutions?sessionID=18879&amp;page=3</x:v>
      </x:c>
    </x:row>
    <x:row r="62" ht="42" customHeight="1">
      <x:c r="A62" s="34" t="str">
        <x:v>56</x:v>
      </x:c>
      <x:c r="B62" s="34" t="str">
        <x:v>18879</x:v>
      </x:c>
      <x:c r="C62" s="34" t="str">
        <x:v>A/HRC/56/L.25/Rev.1</x:v>
      </x:c>
      <x:c r="D62" s="34" t="str">
        <x:v>Elimination of all forms of discrimination against women and girls</x:v>
      </x:c>
      <x:c r="E62" s="34" t="str">
        <x:v>Mexico, Chile</x:v>
      </x:c>
      <x:c r="F62" s="34" t="n">
        <x:v>45481.370833333334</x:v>
      </x:c>
      <x:c r="G62" s="34" t="str">
        <x:v>A/HRC/RES/56/22</x:v>
      </x:c>
      <x:c r="H62" s="34" t="str">
        <x:v>adopted</x:v>
      </x:c>
      <x:c r="I62" s="34" t="str">
        <x:v>Adopted without a vote</x:v>
      </x:c>
      <x:c r="J62" s="34" t="str">
        <x:v>https://hrcportal.ohchr.org/draft-resolutions?sessionID=18879&amp;page=3</x:v>
      </x:c>
    </x:row>
    <x:row r="63" ht="42" customHeight="1">
      <x:c r="A63" s="35" t="str">
        <x:v>56</x:v>
      </x:c>
      <x:c r="B63" s="35" t="str">
        <x:v>18879</x:v>
      </x:c>
      <x:c r="C63" s="35" t="str">
        <x:v>A/HRC/56/L.26</x:v>
      </x:c>
      <x:c r="D63" s="35" t="str">
        <x:v>Menstrual hygiene management, human rights and gender equality</x:v>
      </x:c>
      <x:c r="E63" s="35" t="str">
        <x:v>Gambia (on behalf of the Group of African States)</x:v>
      </x:c>
      <x:c r="F63" s="35" t="n">
        <x:v>45476.458333333336</x:v>
      </x:c>
      <x:c r="G63" s="35" t="str">
        <x:v>A/HRC/RES/56/11</x:v>
      </x:c>
      <x:c r="H63" s="35" t="str">
        <x:v>adopted</x:v>
      </x:c>
      <x:c r="I63" s="35" t="str">
        <x:v>Adopted without a vote</x:v>
      </x:c>
      <x:c r="J63" s="35" t="str">
        <x:v>https://hrcportal.ohchr.org/draft-resolutions?sessionID=18879&amp;page=3</x:v>
      </x:c>
    </x:row>
    <x:row r="64" ht="42" customHeight="1">
      <x:c r="A64" s="34" t="str">
        <x:v>56</x:v>
      </x:c>
      <x:c r="B64" s="34" t="str">
        <x:v>18879</x:v>
      </x:c>
      <x:c r="C64" s="34" t="str">
        <x:v>A/HRC/56/L.27</x:v>
      </x:c>
      <x:c r="D64" s="34" t="str">
        <x:v>Amendment to draft resolution A/HRC/56/L.13: Human rights in the context of HIV and AIDS</x:v>
      </x:c>
      <x:c r="E64" s="34" t="str">
        <x:v>Eritrea, Belarus, Iran (Islamic Republic of), Russian Federation</x:v>
      </x:c>
      <x:c r="F64" s="34" t="n">
        <x:v>45478.35138888889</x:v>
      </x:c>
      <x:c r="G64" s="34" t="str"/>
      <x:c r="H64" s="34" t="str">
        <x:v>tabled; no final resolution shown</x:v>
      </x:c>
      <x:c r="I64" s="34" t="str">
        <x:v>Withdrawn</x:v>
      </x:c>
      <x:c r="J64" s="34" t="str">
        <x:v>https://hrcportal.ohchr.org/draft-resolutions?sessionID=18879&amp;page=3</x:v>
      </x:c>
    </x:row>
    <x:row r="65" ht="42" customHeight="1">
      <x:c r="A65" s="35" t="str">
        <x:v>56</x:v>
      </x:c>
      <x:c r="B65" s="35" t="str">
        <x:v>18879</x:v>
      </x:c>
      <x:c r="C65" s="35" t="str">
        <x:v>A/HRC/56/L.28</x:v>
      </x:c>
      <x:c r="D65" s="35" t="str">
        <x:v>Amendment to draft resolution A/HRC/56/L.13: Human rights in the context of HIV and AIDS</x:v>
      </x:c>
      <x:c r="E65" s="35" t="str">
        <x:v>Russian Federation</x:v>
      </x:c>
      <x:c r="F65" s="35" t="n">
        <x:v>45478.479166666664</x:v>
      </x:c>
      <x:c r="G65" s="35" t="str"/>
      <x:c r="H65" s="35" t="str">
        <x:v>not considered</x:v>
      </x:c>
      <x:c r="I65" s="35" t="str">
        <x:v>Not considered</x:v>
      </x:c>
      <x:c r="J65" s="35" t="str">
        <x:v>https://hrcportal.ohchr.org/draft-resolutions?sessionID=18879&amp;page=3</x:v>
      </x:c>
    </x:row>
    <x:row r="66" ht="42" customHeight="1">
      <x:c r="A66" s="34" t="str">
        <x:v>56</x:v>
      </x:c>
      <x:c r="B66" s="34" t="str">
        <x:v>18879</x:v>
      </x:c>
      <x:c r="C66" s="34" t="str">
        <x:v>A/HRC/56/L.29</x:v>
      </x:c>
      <x:c r="D66" s="34" t="str">
        <x:v>Amendment to draft resolution A/HRC/56/L.13: Human rights in the context of HIV and AIDS</x:v>
      </x:c>
      <x:c r="E66" s="34" t="str">
        <x:v>Russian Federation</x:v>
      </x:c>
      <x:c r="F66" s="34" t="n">
        <x:v>45478.47986111111</x:v>
      </x:c>
      <x:c r="G66" s="34" t="str"/>
      <x:c r="H66" s="34" t="str">
        <x:v>tabled; no final resolution shown</x:v>
      </x:c>
      <x:c r="I66" s="34" t="str">
        <x:v>Rejected by vote: 9-23-13</x:v>
      </x:c>
      <x:c r="J66" s="34" t="str">
        <x:v>https://hrcportal.ohchr.org/draft-resolutions?sessionID=18879&amp;page=3</x:v>
      </x:c>
    </x:row>
    <x:row r="67" ht="42" customHeight="1">
      <x:c r="A67" s="35" t="str">
        <x:v>56</x:v>
      </x:c>
      <x:c r="B67" s="35" t="str">
        <x:v>18879</x:v>
      </x:c>
      <x:c r="C67" s="35" t="str">
        <x:v>A/HRC/56/L.3</x:v>
      </x:c>
      <x:c r="D67" s="35" t="str">
        <x:v>Independence and impartiality of the judiciary, jurors and assessors, and the independence of lawyers</x:v>
      </x:c>
      <x:c r="E67" s="35" t="str">
        <x:v>Hungary, Australia, Botswana, Maldives, Mexico, Thailand</x:v>
      </x:c>
      <x:c r="F67" s="35" t="n">
        <x:v>45474.59375</x:v>
      </x:c>
      <x:c r="G67" s="35" t="str">
        <x:v>A/HRC/RES/56/3</x:v>
      </x:c>
      <x:c r="H67" s="35" t="str">
        <x:v>adopted</x:v>
      </x:c>
      <x:c r="I67" s="35" t="str">
        <x:v>Adopted without a vote</x:v>
      </x:c>
      <x:c r="J67" s="35" t="str">
        <x:v>https://hrcportal.ohchr.org/draft-resolutions?sessionID=18879&amp;page=0</x:v>
      </x:c>
    </x:row>
    <x:row r="68" ht="42" customHeight="1">
      <x:c r="A68" s="34" t="str">
        <x:v>56</x:v>
      </x:c>
      <x:c r="B68" s="34" t="str">
        <x:v>18879</x:v>
      </x:c>
      <x:c r="C68" s="34" t="str">
        <x:v>A/HRC/56/L.30</x:v>
      </x:c>
      <x:c r="D68" s="34" t="str">
        <x:v>Amendment to draft resolution A/HRC/56/L.13: Human rights in the context of HIV and AIDS</x:v>
      </x:c>
      <x:c r="E68" s="34" t="str">
        <x:v>Russian Federation</x:v>
      </x:c>
      <x:c r="F68" s="34" t="n">
        <x:v>45478.48055555556</x:v>
      </x:c>
      <x:c r="G68" s="34" t="str"/>
      <x:c r="H68" s="34" t="str">
        <x:v>tabled; no final resolution shown</x:v>
      </x:c>
      <x:c r="I68" s="34" t="str">
        <x:v>Rejected by vote: 11-25-9</x:v>
      </x:c>
      <x:c r="J68" s="34" t="str">
        <x:v>https://hrcportal.ohchr.org/draft-resolutions?sessionID=18879&amp;page=3</x:v>
      </x:c>
    </x:row>
    <x:row r="69" ht="42" customHeight="1">
      <x:c r="A69" s="35" t="str">
        <x:v>56</x:v>
      </x:c>
      <x:c r="B69" s="35" t="str">
        <x:v>18879</x:v>
      </x:c>
      <x:c r="C69" s="35" t="str">
        <x:v>A/HRC/56/L.31</x:v>
      </x:c>
      <x:c r="D69" s="35" t="str">
        <x:v>Amendment to draft resolution A/HRC/56/L.13: Human rights in the context of HIV and AIDS</x:v>
      </x:c>
      <x:c r="E69" s="35" t="str">
        <x:v>Russian Federation</x:v>
      </x:c>
      <x:c r="F69" s="35" t="n">
        <x:v>45478.48125</x:v>
      </x:c>
      <x:c r="G69" s="35" t="str"/>
      <x:c r="H69" s="35" t="str">
        <x:v>tabled; no final resolution shown</x:v>
      </x:c>
      <x:c r="I69" s="35" t="str">
        <x:v>Rejected by vote: 9-23-13</x:v>
      </x:c>
      <x:c r="J69" s="35" t="str">
        <x:v>https://hrcportal.ohchr.org/draft-resolutions?sessionID=18879&amp;page=4</x:v>
      </x:c>
    </x:row>
    <x:row r="70" ht="42" customHeight="1">
      <x:c r="A70" s="34" t="str">
        <x:v>56</x:v>
      </x:c>
      <x:c r="B70" s="34" t="str">
        <x:v>18879</x:v>
      </x:c>
      <x:c r="C70" s="34" t="str">
        <x:v>A/HRC/56/L.32</x:v>
      </x:c>
      <x:c r="D70" s="34" t="str">
        <x:v>Amendment to draft resolution A/HRC/56/L.13: Human rights in the context of HIV and AIDS</x:v>
      </x:c>
      <x:c r="E70" s="34" t="str">
        <x:v>Russian Federation</x:v>
      </x:c>
      <x:c r="F70" s="34" t="n">
        <x:v>45478.481944444444</x:v>
      </x:c>
      <x:c r="G70" s="34" t="str"/>
      <x:c r="H70" s="34" t="str">
        <x:v>tabled; no final resolution shown</x:v>
      </x:c>
      <x:c r="I70" s="34" t="str">
        <x:v>Rejected by vote: 11-23-11</x:v>
      </x:c>
      <x:c r="J70" s="34" t="str">
        <x:v>https://hrcportal.ohchr.org/draft-resolutions?sessionID=18879&amp;page=4</x:v>
      </x:c>
    </x:row>
    <x:row r="71" ht="42" customHeight="1">
      <x:c r="A71" s="35" t="str">
        <x:v>56</x:v>
      </x:c>
      <x:c r="B71" s="35" t="str">
        <x:v>18879</x:v>
      </x:c>
      <x:c r="C71" s="35" t="str">
        <x:v>A/HRC/56/L.33</x:v>
      </x:c>
      <x:c r="D71" s="35" t="str">
        <x:v>Amendment to draft resolution A/HRC/56/L.13: Human rights in the context of HIV and AIDS</x:v>
      </x:c>
      <x:c r="E71" s="35" t="str">
        <x:v>Russian Federation</x:v>
      </x:c>
      <x:c r="F71" s="35" t="n">
        <x:v>45478.48263888889</x:v>
      </x:c>
      <x:c r="G71" s="35" t="str"/>
      <x:c r="H71" s="35" t="str">
        <x:v>tabled; no final resolution shown</x:v>
      </x:c>
      <x:c r="I71" s="35" t="str">
        <x:v>Rejected by vote: 12-25-8</x:v>
      </x:c>
      <x:c r="J71" s="35" t="str">
        <x:v>https://hrcportal.ohchr.org/draft-resolutions?sessionID=18879&amp;page=4</x:v>
      </x:c>
    </x:row>
    <x:row r="72" ht="42" customHeight="1">
      <x:c r="A72" s="34" t="str">
        <x:v>56</x:v>
      </x:c>
      <x:c r="B72" s="34" t="str">
        <x:v>18879</x:v>
      </x:c>
      <x:c r="C72" s="34" t="str">
        <x:v>A/HRC/56/L.34</x:v>
      </x:c>
      <x:c r="D72" s="34" t="str">
        <x:v>Amendment to draft resolution A/HRC/56/L.13: Human rights in the context of HIV and AIDS</x:v>
      </x:c>
      <x:c r="E72" s="34" t="str">
        <x:v>Russian Federation</x:v>
      </x:c>
      <x:c r="F72" s="34" t="n">
        <x:v>45478.48333333333</x:v>
      </x:c>
      <x:c r="G72" s="34" t="str"/>
      <x:c r="H72" s="34" t="str">
        <x:v>tabled; no final resolution shown</x:v>
      </x:c>
      <x:c r="I72" s="34" t="str">
        <x:v>Rejected by vote: 6-24-15</x:v>
      </x:c>
      <x:c r="J72" s="34" t="str">
        <x:v>https://hrcportal.ohchr.org/draft-resolutions?sessionID=18879&amp;page=4</x:v>
      </x:c>
    </x:row>
    <x:row r="73" ht="42" customHeight="1">
      <x:c r="A73" s="35" t="str">
        <x:v>56</x:v>
      </x:c>
      <x:c r="B73" s="35" t="str">
        <x:v>18879</x:v>
      </x:c>
      <x:c r="C73" s="35" t="str">
        <x:v>A/HRC/56/L.35</x:v>
      </x:c>
      <x:c r="D73" s="35" t="str">
        <x:v>Amendment to draft resolution A/HRC/56/L.15: Technology-facilitated gender-based violence</x:v>
      </x:c>
      <x:c r="E73" s="35" t="str">
        <x:v>Qatar (on behalf of the Gulf Cooperation Council)</x:v>
      </x:c>
      <x:c r="F73" s="35" t="n">
        <x:v>45478.5375</x:v>
      </x:c>
      <x:c r="G73" s="35" t="str"/>
      <x:c r="H73" s="35" t="str">
        <x:v>tabled; no final resolution shown</x:v>
      </x:c>
      <x:c r="I73" s="35" t="str">
        <x:v>Rejected by vote: 15-24-6 Oral Revision - A/HRC/56/L.35</x:v>
      </x:c>
      <x:c r="J73" s="35" t="str">
        <x:v>https://hrcportal.ohchr.org/draft-resolutions?sessionID=18879&amp;page=4</x:v>
      </x:c>
    </x:row>
    <x:row r="74" ht="42" customHeight="1">
      <x:c r="A74" s="34" t="str">
        <x:v>56</x:v>
      </x:c>
      <x:c r="B74" s="34" t="str">
        <x:v>18879</x:v>
      </x:c>
      <x:c r="C74" s="34" t="str">
        <x:v>A/HRC/56/L.36</x:v>
      </x:c>
      <x:c r="D74" s="34" t="str">
        <x:v>Amendment to draft resolution A/HRC/56/L.15: Technology-facilitated gender-based violence</x:v>
      </x:c>
      <x:c r="E74" s="34" t="str">
        <x:v>Qatar (on behalf of the Gulf Cooperation Council)</x:v>
      </x:c>
      <x:c r="F74" s="34" t="n">
        <x:v>45478.538194444445</x:v>
      </x:c>
      <x:c r="G74" s="34" t="str"/>
      <x:c r="H74" s="34" t="str">
        <x:v>tabled; no final resolution shown</x:v>
      </x:c>
      <x:c r="I74" s="34" t="str">
        <x:v>Rejected by vote: 17-26-3</x:v>
      </x:c>
      <x:c r="J74" s="34" t="str">
        <x:v>https://hrcportal.ohchr.org/draft-resolutions?sessionID=18879&amp;page=4</x:v>
      </x:c>
    </x:row>
    <x:row r="75" ht="42" customHeight="1">
      <x:c r="A75" s="35" t="str">
        <x:v>56</x:v>
      </x:c>
      <x:c r="B75" s="35" t="str">
        <x:v>18879</x:v>
      </x:c>
      <x:c r="C75" s="35" t="str">
        <x:v>A/HRC/56/L.37</x:v>
      </x:c>
      <x:c r="D75" s="35" t="str">
        <x:v>Amendment to draft resolution A/HRC/56/L.4: Promoting and protecting the enjoyment of human rights by seafarers</x:v>
      </x:c>
      <x:c r="E75" s="35" t="str">
        <x:v>China</x:v>
      </x:c>
      <x:c r="F75" s="35" t="n">
        <x:v>45478.540972222225</x:v>
      </x:c>
      <x:c r="G75" s="35" t="str"/>
      <x:c r="H75" s="35" t="str">
        <x:v>tabled; no final resolution shown</x:v>
      </x:c>
      <x:c r="I75" s="35" t="str">
        <x:v>Withdrawn</x:v>
      </x:c>
      <x:c r="J75" s="35" t="str">
        <x:v>https://hrcportal.ohchr.org/draft-resolutions?sessionID=18879&amp;page=4</x:v>
      </x:c>
    </x:row>
    <x:row r="76" ht="42" customHeight="1">
      <x:c r="A76" s="34" t="str">
        <x:v>56</x:v>
      </x:c>
      <x:c r="B76" s="34" t="str">
        <x:v>18879</x:v>
      </x:c>
      <x:c r="C76" s="34" t="str">
        <x:v>A/HRC/56/L.38</x:v>
      </x:c>
      <x:c r="D76" s="34" t="str">
        <x:v>Amendment to draft resolution A/HRC/56/L.4: Promoting and protecting the enjoyment of human rights by seafarers</x:v>
      </x:c>
      <x:c r="E76" s="34" t="str">
        <x:v>China</x:v>
      </x:c>
      <x:c r="F76" s="34" t="n">
        <x:v>45478.541666666664</x:v>
      </x:c>
      <x:c r="G76" s="34" t="str"/>
      <x:c r="H76" s="34" t="str">
        <x:v>tabled; no final resolution shown</x:v>
      </x:c>
      <x:c r="I76" s="34" t="str">
        <x:v>Withdrawn</x:v>
      </x:c>
      <x:c r="J76" s="34" t="str">
        <x:v>https://hrcportal.ohchr.org/draft-resolutions?sessionID=18879&amp;page=4</x:v>
      </x:c>
    </x:row>
    <x:row r="77" ht="42" customHeight="1">
      <x:c r="A77" s="35" t="str">
        <x:v>56</x:v>
      </x:c>
      <x:c r="B77" s="35" t="str">
        <x:v>18879</x:v>
      </x:c>
      <x:c r="C77" s="35" t="str">
        <x:v>A/HRC/56/L.39</x:v>
      </x:c>
      <x:c r="D77" s="35" t="str">
        <x:v>Amendment to draft resolution A/HRC/56/L.8/Rev.1 Open-ended Intergovernmental Working Group on an optional protocol to the Convention on the Rights of the Child on the rights to early childhood education, free pre-primary education, and free secondary edu</x:v>
      </x:c>
      <x:c r="E77" s="35" t="str">
        <x:v>Russian Federation</x:v>
      </x:c>
      <x:c r="F77" s="35" t="n">
        <x:v>45481.291666666664</x:v>
      </x:c>
      <x:c r="G77" s="35" t="str"/>
      <x:c r="H77" s="35" t="str">
        <x:v>tabled; no final resolution shown</x:v>
      </x:c>
      <x:c r="I77" s="35" t="str">
        <x:v>Rejected by vote: 12-25-8</x:v>
      </x:c>
      <x:c r="J77" s="35" t="str">
        <x:v>https://hrcportal.ohchr.org/draft-resolutions?sessionID=18879&amp;page=4</x:v>
      </x:c>
    </x:row>
    <x:row r="78" ht="42" customHeight="1">
      <x:c r="A78" s="34" t="str">
        <x:v>56</x:v>
      </x:c>
      <x:c r="B78" s="34" t="str">
        <x:v>18879</x:v>
      </x:c>
      <x:c r="C78" s="34" t="str">
        <x:v>A/HRC/56/L.4</x:v>
      </x:c>
      <x:c r="D78" s="34" t="str">
        <x:v>Promoting and protecting the enjoyment of human rights by seafarers</x:v>
      </x:c>
      <x:c r="E78" s="34" t="str">
        <x:v>Philippines</x:v>
      </x:c>
      <x:c r="F78" s="34" t="n">
        <x:v>45474.59861111111</x:v>
      </x:c>
      <x:c r="G78" s="34" t="str">
        <x:v>A/HRC/RES/56/18</x:v>
      </x:c>
      <x:c r="H78" s="34" t="str">
        <x:v>adopted</x:v>
      </x:c>
      <x:c r="I78" s="34" t="str">
        <x:v>Adopted without a vote Oral Revision - A/HRC/56/L.4</x:v>
      </x:c>
      <x:c r="J78" s="34" t="str">
        <x:v>https://hrcportal.ohchr.org/draft-resolutions?sessionID=18879&amp;page=0</x:v>
      </x:c>
    </x:row>
    <x:row r="79" ht="42" customHeight="1">
      <x:c r="A79" s="35" t="str">
        <x:v>56</x:v>
      </x:c>
      <x:c r="B79" s="35" t="str">
        <x:v>18879</x:v>
      </x:c>
      <x:c r="C79" s="35" t="str">
        <x:v>A/HRC/56/L.40</x:v>
      </x:c>
      <x:c r="D79" s="35" t="str">
        <x:v>Amendment to draft resolution A/HRC/56/L.8/Rev.1 Open-ended Intergovernmental Working Group on an optional protocol to the Convention on the Rights of the Child on the rights to early childhood education, free pre-primary education, and free secondary edu</x:v>
      </x:c>
      <x:c r="E79" s="35" t="str">
        <x:v>Russian Federation</x:v>
      </x:c>
      <x:c r="F79" s="35" t="n">
        <x:v>45481.29236111111</x:v>
      </x:c>
      <x:c r="G79" s="35" t="str"/>
      <x:c r="H79" s="35" t="str">
        <x:v>tabled; no final resolution shown</x:v>
      </x:c>
      <x:c r="I79" s="35" t="str">
        <x:v>Rejected by vote: 12-26-7</x:v>
      </x:c>
      <x:c r="J79" s="35" t="str">
        <x:v>https://hrcportal.ohchr.org/draft-resolutions?sessionID=18879&amp;page=4</x:v>
      </x:c>
    </x:row>
    <x:row r="80" ht="42" customHeight="1">
      <x:c r="A80" s="34" t="str">
        <x:v>56</x:v>
      </x:c>
      <x:c r="B80" s="34" t="str">
        <x:v>18879</x:v>
      </x:c>
      <x:c r="C80" s="34" t="str">
        <x:v>A/HRC/56/L.41</x:v>
      </x:c>
      <x:c r="D80" s="34" t="str">
        <x:v>Amendment to draft resolution A/HRC/56/L.19/Rev.1: The promotion and protection of human rights in the context of peaceful protests</x:v>
      </x:c>
      <x:c r="E80" s="34" t="str">
        <x:v>Russian Federation</x:v>
      </x:c>
      <x:c r="F80" s="34" t="n">
        <x:v>45481.40347222222</x:v>
      </x:c>
      <x:c r="G80" s="34" t="str"/>
      <x:c r="H80" s="34" t="str">
        <x:v>tabled; no final resolution shown</x:v>
      </x:c>
      <x:c r="I80" s="34" t="str">
        <x:v>Rejected by vote: 4-25-16</x:v>
      </x:c>
      <x:c r="J80" s="34" t="str">
        <x:v>https://hrcportal.ohchr.org/draft-resolutions?sessionID=18879&amp;page=5</x:v>
      </x:c>
    </x:row>
    <x:row r="81" ht="42" customHeight="1">
      <x:c r="A81" s="35" t="str">
        <x:v>56</x:v>
      </x:c>
      <x:c r="B81" s="35" t="str">
        <x:v>18879</x:v>
      </x:c>
      <x:c r="C81" s="35" t="str">
        <x:v>A/HRC/56/L.42</x:v>
      </x:c>
      <x:c r="D81" s="35" t="str">
        <x:v>Amendment to draft resolution A/HRC/56/L.19/Rev.1: The promotion and protection of human rights in the context of peaceful protests</x:v>
      </x:c>
      <x:c r="E81" s="35" t="str">
        <x:v>Russian Federation</x:v>
      </x:c>
      <x:c r="F81" s="35" t="n">
        <x:v>45481.40416666667</x:v>
      </x:c>
      <x:c r="G81" s="35" t="str"/>
      <x:c r="H81" s="35" t="str">
        <x:v>tabled; no final resolution shown</x:v>
      </x:c>
      <x:c r="I81" s="35" t="str">
        <x:v>Rejected by vote: 8-23-14</x:v>
      </x:c>
      <x:c r="J81" s="35" t="str">
        <x:v>https://hrcportal.ohchr.org/draft-resolutions?sessionID=18879&amp;page=5</x:v>
      </x:c>
    </x:row>
    <x:row r="82" ht="42" customHeight="1">
      <x:c r="A82" s="34" t="str">
        <x:v>56</x:v>
      </x:c>
      <x:c r="B82" s="34" t="str">
        <x:v>18879</x:v>
      </x:c>
      <x:c r="C82" s="34" t="str">
        <x:v>A/HRC/56/L.43</x:v>
      </x:c>
      <x:c r="D82" s="34" t="str">
        <x:v>Amendment to draft resolution A/HRC/56/L.19/Rev.1: The promotion and protection of human rights in the context of peaceful protests</x:v>
      </x:c>
      <x:c r="E82" s="34" t="str">
        <x:v>Russian Federation</x:v>
      </x:c>
      <x:c r="F82" s="34" t="n">
        <x:v>45481.404861111114</x:v>
      </x:c>
      <x:c r="G82" s="34" t="str"/>
      <x:c r="H82" s="34" t="str">
        <x:v>tabled; no final resolution shown</x:v>
      </x:c>
      <x:c r="I82" s="34" t="str">
        <x:v>Rejected by vote: 3-25-17</x:v>
      </x:c>
      <x:c r="J82" s="34" t="str">
        <x:v>https://hrcportal.ohchr.org/draft-resolutions?sessionID=18879&amp;page=5</x:v>
      </x:c>
    </x:row>
    <x:row r="83" ht="42" customHeight="1">
      <x:c r="A83" s="35" t="str">
        <x:v>56</x:v>
      </x:c>
      <x:c r="B83" s="35" t="str">
        <x:v>18879</x:v>
      </x:c>
      <x:c r="C83" s="35" t="str">
        <x:v>A/HRC/56/L.44</x:v>
      </x:c>
      <x:c r="D83" s="35" t="str">
        <x:v>Amendment to draft resolution A/HRC/56/L.19/Rev.1: The promotion and protection of human rights in the context of peaceful protests</x:v>
      </x:c>
      <x:c r="E83" s="35" t="str">
        <x:v>Russian Federation</x:v>
      </x:c>
      <x:c r="F83" s="35" t="n">
        <x:v>45481.40555555555</x:v>
      </x:c>
      <x:c r="G83" s="35" t="str"/>
      <x:c r="H83" s="35" t="str">
        <x:v>tabled; no final resolution shown</x:v>
      </x:c>
      <x:c r="I83" s="35" t="str">
        <x:v>Rejected by vote: 9-24-13</x:v>
      </x:c>
      <x:c r="J83" s="35" t="str">
        <x:v>https://hrcportal.ohchr.org/draft-resolutions?sessionID=18879&amp;page=5</x:v>
      </x:c>
    </x:row>
    <x:row r="84" ht="42" customHeight="1">
      <x:c r="A84" s="34" t="str">
        <x:v>56</x:v>
      </x:c>
      <x:c r="B84" s="34" t="str">
        <x:v>18879</x:v>
      </x:c>
      <x:c r="C84" s="34" t="str">
        <x:v>A/HRC/56/L.45</x:v>
      </x:c>
      <x:c r="D84" s="34" t="str">
        <x:v>Amendment to draft resolution A/HRC/56/L.19/Rev.1: The promotion and protection of human rights in the context of peaceful protests</x:v>
      </x:c>
      <x:c r="E84" s="34" t="str">
        <x:v>Russian Federation</x:v>
      </x:c>
      <x:c r="F84" s="34" t="n">
        <x:v>45481.40625</x:v>
      </x:c>
      <x:c r="G84" s="34" t="str"/>
      <x:c r="H84" s="34" t="str">
        <x:v>tabled; no final resolution shown</x:v>
      </x:c>
      <x:c r="I84" s="34" t="str">
        <x:v>Rejected by vote: 4-26-14</x:v>
      </x:c>
      <x:c r="J84" s="34" t="str">
        <x:v>https://hrcportal.ohchr.org/draft-resolutions?sessionID=18879&amp;page=5</x:v>
      </x:c>
    </x:row>
    <x:row r="85" ht="42" customHeight="1">
      <x:c r="A85" s="35" t="str">
        <x:v>56</x:v>
      </x:c>
      <x:c r="B85" s="35" t="str">
        <x:v>18879</x:v>
      </x:c>
      <x:c r="C85" s="35" t="str">
        <x:v>A/HRC/56/L.46</x:v>
      </x:c>
      <x:c r="D85" s="35" t="str">
        <x:v>Amendment to draft resolution A/HRC/56/L.25/Rev.1: Elimination of all forms of discrimination against women and girls</x:v>
      </x:c>
      <x:c r="E85" s="35" t="str">
        <x:v>Kuwait (on behalf of the Group of Arab States)</x:v>
      </x:c>
      <x:c r="F85" s="35" t="n">
        <x:v>45481.41388888889</x:v>
      </x:c>
      <x:c r="G85" s="35" t="str"/>
      <x:c r="H85" s="35" t="str">
        <x:v>tabled; no final resolution shown</x:v>
      </x:c>
      <x:c r="I85" s="35" t="str">
        <x:v>Rejected by vote: 19-23-3</x:v>
      </x:c>
      <x:c r="J85" s="35" t="str">
        <x:v>https://hrcportal.ohchr.org/draft-resolutions?sessionID=18879&amp;page=5</x:v>
      </x:c>
    </x:row>
    <x:row r="86" ht="42" customHeight="1">
      <x:c r="A86" s="34" t="str">
        <x:v>56</x:v>
      </x:c>
      <x:c r="B86" s="34" t="str">
        <x:v>18879</x:v>
      </x:c>
      <x:c r="C86" s="34" t="str">
        <x:v>A/HRC/56/L.47</x:v>
      </x:c>
      <x:c r="D86" s="34" t="str">
        <x:v>Amendment to draft resolution A/HRC/56/L.25/Rev.1: Elimination of all forms of discrimination against women and girls</x:v>
      </x:c>
      <x:c r="E86" s="34" t="str">
        <x:v>Russian Federation</x:v>
      </x:c>
      <x:c r="F86" s="34" t="n">
        <x:v>45481.44930555556</x:v>
      </x:c>
      <x:c r="G86" s="34" t="str"/>
      <x:c r="H86" s="34" t="str">
        <x:v>tabled; no final resolution shown</x:v>
      </x:c>
      <x:c r="I86" s="34" t="str">
        <x:v>Rejected by vote: 11-23-11</x:v>
      </x:c>
      <x:c r="J86" s="34" t="str">
        <x:v>https://hrcportal.ohchr.org/draft-resolutions?sessionID=18879&amp;page=5</x:v>
      </x:c>
    </x:row>
    <x:row r="87" ht="42" customHeight="1">
      <x:c r="A87" s="35" t="str">
        <x:v>56</x:v>
      </x:c>
      <x:c r="B87" s="35" t="str">
        <x:v>18879</x:v>
      </x:c>
      <x:c r="C87" s="35" t="str">
        <x:v>A/HRC/56/L.48</x:v>
      </x:c>
      <x:c r="D87" s="35" t="str">
        <x:v>Amendment to draft resolution A/HRC/56/L.25/Rev.1: Elimination of all forms of discrimination against women and girls</x:v>
      </x:c>
      <x:c r="E87" s="35" t="str">
        <x:v>Russian Federation</x:v>
      </x:c>
      <x:c r="F87" s="35" t="n">
        <x:v>45481.45</x:v>
      </x:c>
      <x:c r="G87" s="35" t="str"/>
      <x:c r="H87" s="35" t="str">
        <x:v>tabled; no final resolution shown</x:v>
      </x:c>
      <x:c r="I87" s="35" t="str">
        <x:v>Rejected by vote: 12-22-11</x:v>
      </x:c>
      <x:c r="J87" s="35" t="str">
        <x:v>https://hrcportal.ohchr.org/draft-resolutions?sessionID=18879&amp;page=5</x:v>
      </x:c>
    </x:row>
    <x:row r="88" ht="42" customHeight="1">
      <x:c r="A88" s="34" t="str">
        <x:v>56</x:v>
      </x:c>
      <x:c r="B88" s="34" t="str">
        <x:v>18879</x:v>
      </x:c>
      <x:c r="C88" s="34" t="str">
        <x:v>A/HRC/56/L.49</x:v>
      </x:c>
      <x:c r="D88" s="34" t="str">
        <x:v>Amendment to draft resolution A/HRC/56/L.25/Rev.1: Elimination of all forms of discrimination against women and girls</x:v>
      </x:c>
      <x:c r="E88" s="34" t="str">
        <x:v>Russian Federation</x:v>
      </x:c>
      <x:c r="F88" s="34" t="n">
        <x:v>45481.450694444444</x:v>
      </x:c>
      <x:c r="G88" s="34" t="str"/>
      <x:c r="H88" s="34" t="str">
        <x:v>tabled; no final resolution shown</x:v>
      </x:c>
      <x:c r="I88" s="34" t="str">
        <x:v>Rejected by vote: 9-25-11</x:v>
      </x:c>
      <x:c r="J88" s="34" t="str">
        <x:v>https://hrcportal.ohchr.org/draft-resolutions?sessionID=18879&amp;page=5</x:v>
      </x:c>
    </x:row>
    <x:row r="89" ht="42" customHeight="1">
      <x:c r="A89" s="35" t="str">
        <x:v>56</x:v>
      </x:c>
      <x:c r="B89" s="35" t="str">
        <x:v>18879</x:v>
      </x:c>
      <x:c r="C89" s="35" t="str">
        <x:v>A/HRC/56/L.5</x:v>
      </x:c>
      <x:c r="D89" s="35" t="str">
        <x:v>Human rights and international solidarity</x:v>
      </x:c>
      <x:c r="E89" s="35" t="str">
        <x:v>Cuba</x:v>
      </x:c>
      <x:c r="F89" s="35" t="n">
        <x:v>45474.67083333333</x:v>
      </x:c>
      <x:c r="G89" s="35" t="str">
        <x:v>A/HRC/RES/56/4</x:v>
      </x:c>
      <x:c r="H89" s="35" t="str">
        <x:v>adopted</x:v>
      </x:c>
      <x:c r="I89" s="35" t="str">
        <x:v>Adopted by vote: 29-14-4</x:v>
      </x:c>
      <x:c r="J89" s="35" t="str">
        <x:v>https://hrcportal.ohchr.org/draft-resolutions?sessionID=18879&amp;page=0</x:v>
      </x:c>
    </x:row>
    <x:row r="90" ht="42" customHeight="1">
      <x:c r="A90" s="34" t="str">
        <x:v>56</x:v>
      </x:c>
      <x:c r="B90" s="34" t="str">
        <x:v>18879</x:v>
      </x:c>
      <x:c r="C90" s="34" t="str">
        <x:v>A/HRC/56/L.50</x:v>
      </x:c>
      <x:c r="D90" s="34" t="str">
        <x:v>Amendment to draft resolution A/HRC/56/L.25/Rev.1: Elimination of all forms of discrimination against women and girls</x:v>
      </x:c>
      <x:c r="E90" s="34" t="str">
        <x:v>Russian Federation</x:v>
      </x:c>
      <x:c r="F90" s="34" t="n">
        <x:v>45481.45138888889</x:v>
      </x:c>
      <x:c r="G90" s="34" t="str"/>
      <x:c r="H90" s="34" t="str">
        <x:v>tabled; no final resolution shown</x:v>
      </x:c>
      <x:c r="I90" s="34" t="str">
        <x:v>Withdrawn</x:v>
      </x:c>
      <x:c r="J90" s="34" t="str">
        <x:v>https://hrcportal.ohchr.org/draft-resolutions?sessionID=18879&amp;page=5</x:v>
      </x:c>
    </x:row>
    <x:row r="91" ht="42" customHeight="1">
      <x:c r="A91" s="35" t="str">
        <x:v>56</x:v>
      </x:c>
      <x:c r="B91" s="35" t="str">
        <x:v>18879</x:v>
      </x:c>
      <x:c r="C91" s="35" t="str">
        <x:v>A/HRC/56/L.51</x:v>
      </x:c>
      <x:c r="D91" s="35" t="str">
        <x:v>Amendment to draft resolution A/HRC/56/L.25/Rev.1: Elimination of all forms of discrimination against women and girls</x:v>
      </x:c>
      <x:c r="E91" s="35" t="str">
        <x:v>Russian Federation</x:v>
      </x:c>
      <x:c r="F91" s="35" t="n">
        <x:v>45481.45208333333</x:v>
      </x:c>
      <x:c r="G91" s="35" t="str"/>
      <x:c r="H91" s="35" t="str">
        <x:v>tabled; no final resolution shown</x:v>
      </x:c>
      <x:c r="I91" s="35" t="str">
        <x:v>Rejected by vote: 6-26-13</x:v>
      </x:c>
      <x:c r="J91" s="35" t="str">
        <x:v>https://hrcportal.ohchr.org/draft-resolutions?sessionID=18879&amp;page=6</x:v>
      </x:c>
    </x:row>
    <x:row r="92" ht="42" customHeight="1">
      <x:c r="A92" s="34" t="str">
        <x:v>56</x:v>
      </x:c>
      <x:c r="B92" s="34" t="str">
        <x:v>18879</x:v>
      </x:c>
      <x:c r="C92" s="34" t="str">
        <x:v>A/HRC/56/L.52</x:v>
      </x:c>
      <x:c r="D92" s="34" t="str">
        <x:v>Amendment to draft resolution A/HRC/56/L.25/Rev.1: Elimination of all forms of discrimination against women and girls</x:v>
      </x:c>
      <x:c r="E92" s="34" t="str">
        <x:v>Russian Federation, Belarus, Eritrea, Iran (Islamic Republic of), Venezuela (Bolivarian Republic of)</x:v>
      </x:c>
      <x:c r="F92" s="34" t="n">
        <x:v>45481.45277777778</x:v>
      </x:c>
      <x:c r="G92" s="34" t="str"/>
      <x:c r="H92" s="34" t="str">
        <x:v>tabled; no final resolution shown</x:v>
      </x:c>
      <x:c r="I92" s="34" t="str">
        <x:v>Withdrawn</x:v>
      </x:c>
      <x:c r="J92" s="34" t="str">
        <x:v>https://hrcportal.ohchr.org/draft-resolutions?sessionID=18879&amp;page=6</x:v>
      </x:c>
    </x:row>
    <x:row r="93" ht="42" customHeight="1">
      <x:c r="A93" s="35" t="str">
        <x:v>56</x:v>
      </x:c>
      <x:c r="B93" s="35" t="str">
        <x:v>18879</x:v>
      </x:c>
      <x:c r="C93" s="35" t="str">
        <x:v>A/HRC/56/L.53</x:v>
      </x:c>
      <x:c r="D93" s="35" t="str">
        <x:v>Amendment to draft resolution A/HRC/56/L.20/Rev.1: Countering religious hatred constituting incitement to discrimination, hostility or violence</x:v>
      </x:c>
      <x:c r="E93" s="35" t="str">
        <x:v>Hungary (on behalf of the European Union)</x:v>
      </x:c>
      <x:c r="F93" s="35" t="n">
        <x:v>45481.45347222222</x:v>
      </x:c>
      <x:c r="G93" s="35" t="str"/>
      <x:c r="H93" s="35" t="str">
        <x:v>not considered</x:v>
      </x:c>
      <x:c r="I93" s="35" t="str">
        <x:v>Not considered</x:v>
      </x:c>
      <x:c r="J93" s="35" t="str">
        <x:v>https://hrcportal.ohchr.org/draft-resolutions?sessionID=18879&amp;page=6</x:v>
      </x:c>
    </x:row>
    <x:row r="94" ht="42" customHeight="1">
      <x:c r="A94" s="34" t="str">
        <x:v>56</x:v>
      </x:c>
      <x:c r="B94" s="34" t="str">
        <x:v>18879</x:v>
      </x:c>
      <x:c r="C94" s="34" t="str">
        <x:v>A/HRC/56/L.54</x:v>
      </x:c>
      <x:c r="D94" s="34" t="str">
        <x:v>Amendment to draft resolution A/HRC/56/L.20/Rev.1: Countering religious hatred constituting incitement to discrimination, hostility or violence</x:v>
      </x:c>
      <x:c r="E94" s="34" t="str">
        <x:v>Hungary (on behalf of the European Union)</x:v>
      </x:c>
      <x:c r="F94" s="34" t="n">
        <x:v>45481.45416666667</x:v>
      </x:c>
      <x:c r="G94" s="34" t="str"/>
      <x:c r="H94" s="34" t="str">
        <x:v>not considered</x:v>
      </x:c>
      <x:c r="I94" s="34" t="str">
        <x:v>Not considered</x:v>
      </x:c>
      <x:c r="J94" s="34" t="str">
        <x:v>https://hrcportal.ohchr.org/draft-resolutions?sessionID=18879&amp;page=6</x:v>
      </x:c>
    </x:row>
    <x:row r="95" ht="42" customHeight="1">
      <x:c r="A95" s="35" t="str">
        <x:v>56</x:v>
      </x:c>
      <x:c r="B95" s="35" t="str">
        <x:v>18879</x:v>
      </x:c>
      <x:c r="C95" s="35" t="str">
        <x:v>A/HRC/56/L.55</x:v>
      </x:c>
      <x:c r="D95" s="35" t="str">
        <x:v>Amendment to draft resolution A/HRC/56/L.20/Rev.1: Countering religious hatred constituting incitement to discrimination, hostility or violence</x:v>
      </x:c>
      <x:c r="E95" s="35" t="str">
        <x:v>Hungary (on behalf of the European Union)</x:v>
      </x:c>
      <x:c r="F95" s="35" t="n">
        <x:v>45481.45486111111</x:v>
      </x:c>
      <x:c r="G95" s="35" t="str"/>
      <x:c r="H95" s="35" t="str">
        <x:v>not considered</x:v>
      </x:c>
      <x:c r="I95" s="35" t="str">
        <x:v>Not considered</x:v>
      </x:c>
      <x:c r="J95" s="35" t="str">
        <x:v>https://hrcportal.ohchr.org/draft-resolutions?sessionID=18879&amp;page=6</x:v>
      </x:c>
    </x:row>
    <x:row r="96" ht="42" customHeight="1">
      <x:c r="A96" s="34" t="str">
        <x:v>56</x:v>
      </x:c>
      <x:c r="B96" s="34" t="str">
        <x:v>18879</x:v>
      </x:c>
      <x:c r="C96" s="34" t="str">
        <x:v>A/HRC/56/L.56</x:v>
      </x:c>
      <x:c r="D96" s="34" t="str">
        <x:v>Amendment to draft resolution A/HRC/56/L.20/Rev.1: Countering religious hatred constituting incitement to discrimination, hostility or violence</x:v>
      </x:c>
      <x:c r="E96" s="34" t="str">
        <x:v>Hungary (on behalf of the European Union)</x:v>
      </x:c>
      <x:c r="F96" s="34" t="n">
        <x:v>45481.455555555556</x:v>
      </x:c>
      <x:c r="G96" s="34" t="str"/>
      <x:c r="H96" s="34" t="str">
        <x:v>not considered</x:v>
      </x:c>
      <x:c r="I96" s="34" t="str">
        <x:v>Not considered</x:v>
      </x:c>
      <x:c r="J96" s="34" t="str">
        <x:v>https://hrcportal.ohchr.org/draft-resolutions?sessionID=18879&amp;page=6</x:v>
      </x:c>
    </x:row>
    <x:row r="97" ht="42" customHeight="1">
      <x:c r="A97" s="35" t="str">
        <x:v>56</x:v>
      </x:c>
      <x:c r="B97" s="35" t="str">
        <x:v>18879</x:v>
      </x:c>
      <x:c r="C97" s="35" t="str">
        <x:v>A/HRC/56/L.6</x:v>
      </x:c>
      <x:c r="D97" s="35" t="str">
        <x:v>The Social Forum</x:v>
      </x:c>
      <x:c r="E97" s="35" t="str">
        <x:v>Cuba</x:v>
      </x:c>
      <x:c r="F97" s="35" t="n">
        <x:v>45474.67152777778</x:v>
      </x:c>
      <x:c r="G97" s="35" t="str">
        <x:v>A/HRC/RES/56/12</x:v>
      </x:c>
      <x:c r="H97" s="35" t="str">
        <x:v>adopted</x:v>
      </x:c>
      <x:c r="I97" s="35" t="str">
        <x:v>Adopted without a vote</x:v>
      </x:c>
      <x:c r="J97" s="35" t="str">
        <x:v>https://hrcportal.ohchr.org/draft-resolutions?sessionID=18879&amp;page=0</x:v>
      </x:c>
    </x:row>
    <x:row r="98" ht="42" customHeight="1">
      <x:c r="A98" s="34" t="str">
        <x:v>56</x:v>
      </x:c>
      <x:c r="B98" s="34" t="str">
        <x:v>18879</x:v>
      </x:c>
      <x:c r="C98" s="34" t="str">
        <x:v>A/HRC/56/L.7</x:v>
      </x:c>
      <x:c r="D98" s="34" t="str">
        <x:v>OBSOLETE</x:v>
      </x:c>
      <x:c r="E98" s="34" t="str">
        <x:v>Egypt, Indonesia, Nigeria, Philippines, Senegal</x:v>
      </x:c>
      <x:c r="F98" s="34" t="n">
        <x:v>45475.291666666664</x:v>
      </x:c>
      <x:c r="G98" s="34" t="str"/>
      <x:c r="H98" s="34" t="str">
        <x:v>obsolete/superseded</x:v>
      </x:c>
      <x:c r="I98" s="34" t="str"/>
      <x:c r="J98" s="34" t="str">
        <x:v>https://hrcportal.ohchr.org/draft-resolutions?sessionID=18879&amp;page=0</x:v>
      </x:c>
    </x:row>
    <x:row r="99" ht="42" customHeight="1">
      <x:c r="A99" s="35" t="str">
        <x:v>56</x:v>
      </x:c>
      <x:c r="B99" s="35" t="str">
        <x:v>18879</x:v>
      </x:c>
      <x:c r="C99" s="35" t="str">
        <x:v>A/HRC/56/L.7/Rev.1</x:v>
      </x:c>
      <x:c r="D99" s="35" t="str">
        <x:v>Strengthening documentation within the Human Rights Council: webcasts</x:v>
      </x:c>
      <x:c r="E99" s="35" t="str">
        <x:v>Egypt, Indonesia, Nigeria, Philippines, Senegal</x:v>
      </x:c>
      <x:c r="F99" s="35" t="n">
        <x:v>45478.41388888889</x:v>
      </x:c>
      <x:c r="G99" s="35" t="str"/>
      <x:c r="H99" s="35" t="str">
        <x:v>tabled; no final resolution shown</x:v>
      </x:c>
      <x:c r="I99" s="35" t="str">
        <x:v>Adopted without a vote</x:v>
      </x:c>
      <x:c r="J99" s="35" t="str">
        <x:v>https://hrcportal.ohchr.org/draft-resolutions?sessionID=18879&amp;page=0</x:v>
      </x:c>
    </x:row>
    <x:row r="100" ht="42" customHeight="1">
      <x:c r="A100" s="34" t="str">
        <x:v>56</x:v>
      </x:c>
      <x:c r="B100" s="34" t="str">
        <x:v>18879</x:v>
      </x:c>
      <x:c r="C100" s="34" t="str">
        <x:v>A/HRC/56/L.8</x:v>
      </x:c>
      <x:c r="D100" s="34" t="str">
        <x:v>OBSOLETE</x:v>
      </x:c>
      <x:c r="E100" s="34" t="str">
        <x:v>Luxembourg, Armenia, Bulgaria, Colombia, Cyprus, Dominican Republic, Gambia, Kazakhstan, Kyrgyzstan, Nauru, Panama, Romania, Sierra Leone</x:v>
      </x:c>
      <x:c r="F100" s="34" t="n">
        <x:v>45475.31805555556</x:v>
      </x:c>
      <x:c r="G100" s="34" t="str"/>
      <x:c r="H100" s="34" t="str">
        <x:v>obsolete/superseded</x:v>
      </x:c>
      <x:c r="I100" s="34" t="str"/>
      <x:c r="J100" s="34" t="str">
        <x:v>https://hrcportal.ohchr.org/draft-resolutions?sessionID=18879&amp;page=0</x:v>
      </x:c>
    </x:row>
    <x:row r="101" ht="42" customHeight="1">
      <x:c r="A101" s="35" t="str">
        <x:v>56</x:v>
      </x:c>
      <x:c r="B101" s="35" t="str">
        <x:v>18879</x:v>
      </x:c>
      <x:c r="C101" s="35" t="str">
        <x:v>A/HRC/56/L.8/Rev.1</x:v>
      </x:c>
      <x:c r="D101" s="35" t="str">
        <x:v>Open-ended intergovernmental working group on an optional protocol to the Convention on the Rights of the Child on the rights to early childhood education, free pre-primary education and free secondary education</x:v>
      </x:c>
      <x:c r="E101" s="35" t="str">
        <x:v>Luxembourg, Armenia, Bulgaria, Colombia, Cyprus, Dominican Republic, Gambia, Kazakhstan, Kyrgyzstan, Nauru, Panama, Romania, Sierra Leone</x:v>
      </x:c>
      <x:c r="F101" s="35" t="n">
        <x:v>45478.45763888889</x:v>
      </x:c>
      <x:c r="G101" s="35" t="str">
        <x:v>A/HRC/RES/56/5</x:v>
      </x:c>
      <x:c r="H101" s="35" t="str">
        <x:v>adopted</x:v>
      </x:c>
      <x:c r="I101" s="35" t="str">
        <x:v>Adopted without a vote</x:v>
      </x:c>
      <x:c r="J101" s="35" t="str">
        <x:v>https://hrcportal.ohchr.org/draft-resolutions?sessionID=18879&amp;page=0</x:v>
      </x:c>
    </x:row>
    <x:row r="102" ht="42" customHeight="1">
      <x:c r="A102" s="34" t="str">
        <x:v>56</x:v>
      </x:c>
      <x:c r="B102" s="34" t="str">
        <x:v>18879</x:v>
      </x:c>
      <x:c r="C102" s="34" t="str">
        <x:v>A/HRC/56/L.9</x:v>
      </x:c>
      <x:c r="D102" s="34" t="str">
        <x:v>OBSOLETE</x:v>
      </x:c>
      <x:c r="E102" s="34" t="str">
        <x:v>Ecuador, Peru</x:v>
      </x:c>
      <x:c r="F102" s="34" t="n">
        <x:v>45475.34930555556</x:v>
      </x:c>
      <x:c r="G102" s="34" t="str"/>
      <x:c r="H102" s="34" t="str">
        <x:v>obsolete/superseded</x:v>
      </x:c>
      <x:c r="I102" s="34" t="str"/>
      <x:c r="J102" s="34" t="str">
        <x:v>https://hrcportal.ohchr.org/draft-resolutions?sessionID=18879&amp;page=1</x:v>
      </x:c>
    </x:row>
    <x:row r="103" ht="42" customHeight="1">
      <x:c r="A103" s="35" t="str">
        <x:v>56</x:v>
      </x:c>
      <x:c r="B103" s="35" t="str">
        <x:v>18879</x:v>
      </x:c>
      <x:c r="C103" s="35" t="str">
        <x:v>A/HRC/56/L.9/Rev.1</x:v>
      </x:c>
      <x:c r="D103" s="35" t="str">
        <x:v>Human rights and the civilian acquisition, possession and use of firearms</x:v>
      </x:c>
      <x:c r="E103" s="35" t="str">
        <x:v>Ecuador, Peru</x:v>
      </x:c>
      <x:c r="F103" s="35" t="n">
        <x:v>45478.419444444444</x:v>
      </x:c>
      <x:c r="G103" s="35" t="str">
        <x:v>A/HRC/RES/56/9</x:v>
      </x:c>
      <x:c r="H103" s="35" t="str">
        <x:v>adopted</x:v>
      </x:c>
      <x:c r="I103" s="35" t="str">
        <x:v>Adopted without a vote</x:v>
      </x:c>
      <x:c r="J103" s="35" t="str">
        <x:v>https://hrcportal.ohchr.org/draft-resolutions?sessionID=18879&amp;page=1</x:v>
      </x:c>
    </x:row>
    <x:row r="104" ht="42" customHeight="1">
      <x:c r="A104" s="34" t="str">
        <x:v>57</x:v>
      </x:c>
      <x:c r="B104" s="34" t="str">
        <x:v>18724</x:v>
      </x:c>
      <x:c r="C104" s="34" t="str">
        <x:v>A/HRC/57/L.1</x:v>
      </x:c>
      <x:c r="D104" s="34" t="str">
        <x:v>Promoting reconciliation, accountability and human rights in Sri Lanka</x:v>
      </x:c>
      <x:c r="E104" s="34" t="str">
        <x:v>United Kingdom of Great Britain and Northern Ireland, Canada, Malawi, Montenegro, North Macedonia, United States of America</x:v>
      </x:c>
      <x:c r="F104" s="34" t="n">
        <x:v>45552.291666666664</x:v>
      </x:c>
      <x:c r="G104" s="34" t="str">
        <x:v>A/HRC/RES/57/1</x:v>
      </x:c>
      <x:c r="H104" s="34" t="str">
        <x:v>adopted</x:v>
      </x:c>
      <x:c r="I104" s="34" t="str">
        <x:v>Adopted without a vote</x:v>
      </x:c>
      <x:c r="J104" s="34" t="str">
        <x:v>https://hrcportal.ohchr.org/draft-resolutions?sessionID=18724&amp;page=0</x:v>
      </x:c>
    </x:row>
    <x:row r="105" ht="42" customHeight="1">
      <x:c r="A105" s="35" t="str">
        <x:v>57</x:v>
      </x:c>
      <x:c r="B105" s="35" t="str">
        <x:v>18724</x:v>
      </x:c>
      <x:c r="C105" s="35" t="str">
        <x:v>A/HRC/57/L.10</x:v>
      </x:c>
      <x:c r="D105" s="35" t="str">
        <x:v>Use of mercenaries as a means of violating human rights and impeding the exercise of the right of peoples to self-determination</x:v>
      </x:c>
      <x:c r="E105" s="35" t="str">
        <x:v>Cuba</x:v>
      </x:c>
      <x:c r="F105" s="35" t="n">
        <x:v>45566.29236111111</x:v>
      </x:c>
      <x:c r="G105" s="35" t="str">
        <x:v>A/HRC/RES/57/8</x:v>
      </x:c>
      <x:c r="H105" s="35" t="str">
        <x:v>adopted</x:v>
      </x:c>
      <x:c r="I105" s="35" t="str">
        <x:v>Adopted by vote: 29-14-4</x:v>
      </x:c>
      <x:c r="J105" s="35" t="str">
        <x:v>https://hrcportal.ohchr.org/draft-resolutions?sessionID=18724&amp;page=1</x:v>
      </x:c>
    </x:row>
    <x:row r="106" ht="42" customHeight="1">
      <x:c r="A106" s="34" t="str">
        <x:v>57</x:v>
      </x:c>
      <x:c r="B106" s="34" t="str">
        <x:v>18724</x:v>
      </x:c>
      <x:c r="C106" s="34" t="str">
        <x:v>A/HRC/57/L.11</x:v>
      </x:c>
      <x:c r="D106" s="34" t="str">
        <x:v>Situation of human rights in the Syrian Arab Republic</x:v>
      </x:c>
      <x:c r="E106" s="34" t="str">
        <x:v>United Kingdom of Great Britain and Northern Ireland, France, Germany, Netherlands (Kingdom of the), Qatar, Türkiye, United States of America</x:v>
      </x:c>
      <x:c r="F106" s="34" t="n">
        <x:v>45566.36597222222</x:v>
      </x:c>
      <x:c r="G106" s="34" t="str">
        <x:v>A/HRC/RES/57/21</x:v>
      </x:c>
      <x:c r="H106" s="34" t="str">
        <x:v>adopted</x:v>
      </x:c>
      <x:c r="I106" s="34" t="str">
        <x:v>Adopted by vote: 26-4-17</x:v>
      </x:c>
      <x:c r="J106" s="34" t="str">
        <x:v>https://hrcportal.ohchr.org/draft-resolutions?sessionID=18724&amp;page=1</x:v>
      </x:c>
    </x:row>
    <x:row r="107" ht="42" customHeight="1">
      <x:c r="A107" s="35" t="str">
        <x:v>57</x:v>
      </x:c>
      <x:c r="B107" s="35" t="str">
        <x:v>18724</x:v>
      </x:c>
      <x:c r="C107" s="35" t="str">
        <x:v>A/HRC/57/L.12</x:v>
      </x:c>
      <x:c r="D107" s="35" t="str">
        <x:v>Situation of human rights in Burundi</x:v>
      </x:c>
      <x:c r="E107" s="35" t="str">
        <x:v>Hungary (on behalf of the European Union)</x:v>
      </x:c>
      <x:c r="F107" s="35" t="n">
        <x:v>45566.381944444445</x:v>
      </x:c>
      <x:c r="G107" s="35" t="str">
        <x:v>A/HRC/RES/57/22</x:v>
      </x:c>
      <x:c r="H107" s="35" t="str">
        <x:v>adopted</x:v>
      </x:c>
      <x:c r="I107" s="35" t="str">
        <x:v>Adopted by vote: 22-10-15</x:v>
      </x:c>
      <x:c r="J107" s="35" t="str">
        <x:v>https://hrcportal.ohchr.org/draft-resolutions?sessionID=18724&amp;page=1</x:v>
      </x:c>
    </x:row>
    <x:row r="108" ht="42" customHeight="1">
      <x:c r="A108" s="34" t="str">
        <x:v>57</x:v>
      </x:c>
      <x:c r="B108" s="34" t="str">
        <x:v>18724</x:v>
      </x:c>
      <x:c r="C108" s="34" t="str">
        <x:v>A/HRC/57/L.13</x:v>
      </x:c>
      <x:c r="D108" s="34" t="str">
        <x:v>Report of the Advisory Committee</x:v>
      </x:c>
      <x:c r="E108" s="34" t="str">
        <x:v>President of the Human Rights Council</x:v>
      </x:c>
      <x:c r="F108" s="34" t="n">
        <x:v>45566.38888888889</x:v>
      </x:c>
      <x:c r="G108" s="34" t="str"/>
      <x:c r="H108" s="34" t="str">
        <x:v>tabled; no final resolution shown</x:v>
      </x:c>
      <x:c r="I108" s="34" t="str">
        <x:v>Adopted without a vote</x:v>
      </x:c>
      <x:c r="J108" s="34" t="str">
        <x:v>https://hrcportal.ohchr.org/draft-resolutions?sessionID=18724&amp;page=1</x:v>
      </x:c>
    </x:row>
    <x:row r="109" ht="42" customHeight="1">
      <x:c r="A109" s="35" t="str">
        <x:v>57</x:v>
      </x:c>
      <x:c r="B109" s="35" t="str">
        <x:v>18724</x:v>
      </x:c>
      <x:c r="C109" s="35" t="str">
        <x:v>A/HRC/57/L.14</x:v>
      </x:c>
      <x:c r="D109" s="35" t="str">
        <x:v>Technical assistance and capacity-building to address the human rights implications of the nuclear legacy in the Marshall Islands</x:v>
      </x:c>
      <x:c r="E109" s="35" t="str">
        <x:v>Marshall Islands, Fiji, Kiribati, Micronesia (Federated States of), Nauru, Samoa, Vanuatu</x:v>
      </x:c>
      <x:c r="F109" s="35" t="n">
        <x:v>45566.42916666667</x:v>
      </x:c>
      <x:c r="G109" s="35" t="str">
        <x:v>A/HRC/RES/57/26</x:v>
      </x:c>
      <x:c r="H109" s="35" t="str">
        <x:v>adopted</x:v>
      </x:c>
      <x:c r="I109" s="35" t="str">
        <x:v>Adopted without a vote</x:v>
      </x:c>
      <x:c r="J109" s="35" t="str">
        <x:v>https://hrcportal.ohchr.org/draft-resolutions?sessionID=18724&amp;page=1</x:v>
      </x:c>
    </x:row>
    <x:row r="110" ht="42" customHeight="1">
      <x:c r="A110" s="34" t="str">
        <x:v>57</x:v>
      </x:c>
      <x:c r="B110" s="34" t="str">
        <x:v>18724</x:v>
      </x:c>
      <x:c r="C110" s="34" t="str">
        <x:v>A/HRC/57/L.15</x:v>
      </x:c>
      <x:c r="D110" s="34" t="str">
        <x:v>Assistance to Somalia in the field of human rights</x:v>
      </x:c>
      <x:c r="E110" s="34" t="str">
        <x:v>United Kingdom of Great Britain and Northern Ireland, Somalia</x:v>
      </x:c>
      <x:c r="F110" s="34" t="n">
        <x:v>45566.46805555555</x:v>
      </x:c>
      <x:c r="G110" s="34" t="str">
        <x:v>A/HRC/RES/57/27</x:v>
      </x:c>
      <x:c r="H110" s="34" t="str">
        <x:v>adopted</x:v>
      </x:c>
      <x:c r="I110" s="34" t="str">
        <x:v>Adopted without a vote</x:v>
      </x:c>
      <x:c r="J110" s="34" t="str">
        <x:v>https://hrcportal.ohchr.org/draft-resolutions?sessionID=18724&amp;page=1</x:v>
      </x:c>
    </x:row>
    <x:row r="111" ht="42" customHeight="1">
      <x:c r="A111" s="35" t="str">
        <x:v>57</x:v>
      </x:c>
      <x:c r="B111" s="35" t="str">
        <x:v>18724</x:v>
      </x:c>
      <x:c r="C111" s="35" t="str">
        <x:v>A/HRC/57/L.16</x:v>
      </x:c>
      <x:c r="D111" s="35" t="str">
        <x:v>National human rights institutions</x:v>
      </x:c>
      <x:c r="E111" s="35" t="str">
        <x:v>Australia, Timor-Leste</x:v>
      </x:c>
      <x:c r="F111" s="35" t="n">
        <x:v>45566.50277777778</x:v>
      </x:c>
      <x:c r="G111" s="35" t="str">
        <x:v>A/HRC/RES/57/23</x:v>
      </x:c>
      <x:c r="H111" s="35" t="str">
        <x:v>adopted</x:v>
      </x:c>
      <x:c r="I111" s="35" t="str">
        <x:v>Adopted without a vote Oral Revision - A/HRC/57/L.16</x:v>
      </x:c>
      <x:c r="J111" s="35" t="str">
        <x:v>https://hrcportal.ohchr.org/draft-resolutions?sessionID=18724&amp;page=1</x:v>
      </x:c>
    </x:row>
    <x:row r="112" ht="42" customHeight="1">
      <x:c r="A112" s="34" t="str">
        <x:v>57</x:v>
      </x:c>
      <x:c r="B112" s="34" t="str">
        <x:v>18724</x:v>
      </x:c>
      <x:c r="C112" s="34" t="str">
        <x:v>A/HRC/57/L.17</x:v>
      </x:c>
      <x:c r="D112" s="34" t="str">
        <x:v>OBSOLETE</x:v>
      </x:c>
      <x:c r="E112" s="34" t="str">
        <x:v>Costa Rica, Gambia, Kazakhstan, Montenegro, Romania</x:v>
      </x:c>
      <x:c r="F112" s="34" t="n">
        <x:v>45566.55763888889</x:v>
      </x:c>
      <x:c r="G112" s="34" t="str"/>
      <x:c r="H112" s="34" t="str">
        <x:v>obsolete/superseded</x:v>
      </x:c>
      <x:c r="I112" s="34" t="str"/>
      <x:c r="J112" s="34" t="str">
        <x:v>https://hrcportal.ohchr.org/draft-resolutions?sessionID=18724&amp;page=1</x:v>
      </x:c>
    </x:row>
    <x:row r="113" ht="42" customHeight="1">
      <x:c r="A113" s="35" t="str">
        <x:v>57</x:v>
      </x:c>
      <x:c r="B113" s="35" t="str">
        <x:v>18724</x:v>
      </x:c>
      <x:c r="C113" s="35" t="str">
        <x:v>A/HRC/57/L.17/Rev.1</x:v>
      </x:c>
      <x:c r="D113" s="35" t="str">
        <x:v>Social reintegration of persons released from detention and persons subjected to non-custodial measures</x:v>
      </x:c>
      <x:c r="E113" s="35" t="str">
        <x:v>Costa Rica, Gambia, Kazakhstan, Montenegro, Romania</x:v>
      </x:c>
      <x:c r="F113" s="35" t="n">
        <x:v>45572.419444444444</x:v>
      </x:c>
      <x:c r="G113" s="35" t="str">
        <x:v>A/HRC/RES/57/9</x:v>
      </x:c>
      <x:c r="H113" s="35" t="str">
        <x:v>adopted</x:v>
      </x:c>
      <x:c r="I113" s="35" t="str">
        <x:v>Adopted without a vote</x:v>
      </x:c>
      <x:c r="J113" s="35" t="str">
        <x:v>https://hrcportal.ohchr.org/draft-resolutions?sessionID=18724&amp;page=1</x:v>
      </x:c>
    </x:row>
    <x:row r="114" ht="42" customHeight="1">
      <x:c r="A114" s="34" t="str">
        <x:v>57</x:v>
      </x:c>
      <x:c r="B114" s="34" t="str">
        <x:v>18724</x:v>
      </x:c>
      <x:c r="C114" s="34" t="str">
        <x:v>A/HRC/57/L.17/Rev.1</x:v>
      </x:c>
      <x:c r="D114" s="34" t="str">
        <x:v>Social reintegration of persons released from detention and persons subjected to non-custodial measures</x:v>
      </x:c>
      <x:c r="E114" s="34" t="str">
        <x:v>Costa Rica, Gambia, Kazakhstan, Montenegro, Romania</x:v>
      </x:c>
      <x:c r="F114" s="34" t="n">
        <x:v>45572.419444444444</x:v>
      </x:c>
      <x:c r="G114" s="34" t="str"/>
      <x:c r="H114" s="34" t="str">
        <x:v>tabled; no final resolution shown</x:v>
      </x:c>
      <x:c r="I114" s="34" t="str">
        <x:v>Adopted without a vote</x:v>
      </x:c>
      <x:c r="J114" s="34" t="str">
        <x:v>https://hrcportal.ohchr.org/draft-resolutions?sessionID=18724&amp;page=1</x:v>
      </x:c>
    </x:row>
    <x:row r="115" ht="42" customHeight="1">
      <x:c r="A115" s="35" t="str">
        <x:v>57</x:v>
      </x:c>
      <x:c r="B115" s="35" t="str">
        <x:v>18724</x:v>
      </x:c>
      <x:c r="C115" s="35" t="str">
        <x:v>A/HRC/57/L.18</x:v>
      </x:c>
      <x:c r="D115" s="35" t="str">
        <x:v>Enhancement of technical cooperation and capacity-building in the field of human rights</x:v>
      </x:c>
      <x:c r="E115" s="35" t="str">
        <x:v>Thailand, Brazil, Honduras, Indonesia, Morocco, Norway, Qatar, Singapore, Türkiye</x:v>
      </x:c>
      <x:c r="F115" s="35" t="n">
        <x:v>45566.60972222222</x:v>
      </x:c>
      <x:c r="G115" s="35" t="str">
        <x:v>A/HRC/RES/57/32</x:v>
      </x:c>
      <x:c r="H115" s="35" t="str">
        <x:v>adopted</x:v>
      </x:c>
      <x:c r="I115" s="35" t="str">
        <x:v>Adopted without a vote</x:v>
      </x:c>
      <x:c r="J115" s="35" t="str">
        <x:v>https://hrcportal.ohchr.org/draft-resolutions?sessionID=18724&amp;page=2</x:v>
      </x:c>
    </x:row>
    <x:row r="116" ht="42" customHeight="1">
      <x:c r="A116" s="34" t="str">
        <x:v>57</x:v>
      </x:c>
      <x:c r="B116" s="34" t="str">
        <x:v>18724</x:v>
      </x:c>
      <x:c r="C116" s="34" t="str">
        <x:v>A/HRC/57/L.19</x:v>
      </x:c>
      <x:c r="D116" s="34" t="str">
        <x:v>The right to development</x:v>
      </x:c>
      <x:c r="E116" s="34" t="str">
        <x:v>Uganda (on behalf of the Movement of Non-Aligned Countries)</x:v>
      </x:c>
      <x:c r="F116" s="34" t="n">
        <x:v>45566.65555555555</x:v>
      </x:c>
      <x:c r="G116" s="34" t="str">
        <x:v>A/HRC/RES/57/19</x:v>
      </x:c>
      <x:c r="H116" s="34" t="str">
        <x:v>adopted</x:v>
      </x:c>
      <x:c r="I116" s="34" t="str">
        <x:v>Adopted by vote: 29-14-4</x:v>
      </x:c>
      <x:c r="J116" s="34" t="str">
        <x:v>https://hrcportal.ohchr.org/draft-resolutions?sessionID=18724&amp;page=2</x:v>
      </x:c>
    </x:row>
    <x:row r="117" ht="42" customHeight="1">
      <x:c r="A117" s="35" t="str">
        <x:v>57</x:v>
      </x:c>
      <x:c r="B117" s="35" t="str">
        <x:v>18724</x:v>
      </x:c>
      <x:c r="C117" s="35" t="str">
        <x:v>A/HRC/57/L.2</x:v>
      </x:c>
      <x:c r="D117" s="35" t="str">
        <x:v>Marking the thirtieth anniversary of the Beijing Declaration and Platform for Action</x:v>
      </x:c>
      <x:c r="E117" s="35" t="str">
        <x:v>China, Denmark, France, Kenya, Mexico</x:v>
      </x:c>
      <x:c r="F117" s="35" t="n">
        <x:v>45555.55694444444</x:v>
      </x:c>
      <x:c r="G117" s="35" t="str">
        <x:v>A/HRC/RES/57/4</x:v>
      </x:c>
      <x:c r="H117" s="35" t="str">
        <x:v>adopted</x:v>
      </x:c>
      <x:c r="I117" s="35" t="str">
        <x:v>Adopted without a vote</x:v>
      </x:c>
      <x:c r="J117" s="35" t="str">
        <x:v>https://hrcportal.ohchr.org/draft-resolutions?sessionID=18724&amp;page=0</x:v>
      </x:c>
    </x:row>
    <x:row r="118" ht="42" customHeight="1">
      <x:c r="A118" s="34" t="str">
        <x:v>57</x:v>
      </x:c>
      <x:c r="B118" s="34" t="str">
        <x:v>18724</x:v>
      </x:c>
      <x:c r="C118" s="34" t="str">
        <x:v>A/HRC/57/L.20</x:v>
      </x:c>
      <x:c r="D118" s="34" t="str">
        <x:v>Cooperation with Georgia</x:v>
      </x:c>
      <x:c r="E118" s="34" t="str">
        <x:v>Georgia</x:v>
      </x:c>
      <x:c r="F118" s="34" t="n">
        <x:v>45567.291666666664</x:v>
      </x:c>
      <x:c r="G118" s="34" t="str"/>
      <x:c r="H118" s="34" t="str">
        <x:v>tabled; no final resolution shown</x:v>
      </x:c>
      <x:c r="I118" s="34" t="str">
        <x:v>Adopted by vote: 24-3-20</x:v>
      </x:c>
      <x:c r="J118" s="34" t="str">
        <x:v>https://hrcportal.ohchr.org/draft-resolutions?sessionID=18724&amp;page=2</x:v>
      </x:c>
    </x:row>
    <x:row r="119" ht="42" customHeight="1">
      <x:c r="A119" s="35" t="str">
        <x:v>57</x:v>
      </x:c>
      <x:c r="B119" s="35" t="str">
        <x:v>18724</x:v>
      </x:c>
      <x:c r="C119" s="35" t="str">
        <x:v>A/HRC/57/L.21</x:v>
      </x:c>
      <x:c r="D119" s="35" t="str">
        <x:v>World Programme for Human Rights Education: the plan of action for the fifth phase</x:v>
      </x:c>
      <x:c r="E119" s="35" t="str">
        <x:v>Philippines, Brazil, Costa Rica, Italy, Morocco, Senegal, Slovenia, Thailand</x:v>
      </x:c>
      <x:c r="F119" s="35" t="n">
        <x:v>45567.29236111111</x:v>
      </x:c>
      <x:c r="G119" s="35" t="str"/>
      <x:c r="H119" s="35" t="str">
        <x:v>tabled; no final resolution shown</x:v>
      </x:c>
      <x:c r="I119" s="35" t="str">
        <x:v>Adopted without a vote</x:v>
      </x:c>
      <x:c r="J119" s="35" t="str">
        <x:v>https://hrcportal.ohchr.org/draft-resolutions?sessionID=18724&amp;page=2</x:v>
      </x:c>
    </x:row>
    <x:row r="120" ht="42" customHeight="1">
      <x:c r="A120" s="34" t="str">
        <x:v>57</x:v>
      </x:c>
      <x:c r="B120" s="34" t="str">
        <x:v>18724</x:v>
      </x:c>
      <x:c r="C120" s="34" t="str">
        <x:v>A/HRC/57/L.22</x:v>
      </x:c>
      <x:c r="D120" s="34" t="str">
        <x:v>Responding to the human rights and humanitarian crisis caused by the ongoing armed conflict in the Sudan</x:v>
      </x:c>
      <x:c r="E120" s="34" t="str">
        <x:v>United Kingdom of Great Britain and Northern Ireland, Germany, Norway, United States of America</x:v>
      </x:c>
      <x:c r="F120" s="34" t="n">
        <x:v>45567.30416666667</x:v>
      </x:c>
      <x:c r="G120" s="34" t="str"/>
      <x:c r="H120" s="34" t="str">
        <x:v>tabled; no final resolution shown</x:v>
      </x:c>
      <x:c r="I120" s="34" t="str">
        <x:v>Adopted by vote: 23-12-12</x:v>
      </x:c>
      <x:c r="J120" s="34" t="str">
        <x:v>https://hrcportal.ohchr.org/draft-resolutions?sessionID=18724&amp;page=2</x:v>
      </x:c>
    </x:row>
    <x:row r="121" ht="42" customHeight="1">
      <x:c r="A121" s="35" t="str">
        <x:v>57</x:v>
      </x:c>
      <x:c r="B121" s="35" t="str">
        <x:v>18724</x:v>
      </x:c>
      <x:c r="C121" s="35" t="str">
        <x:v>A/HRC/57/L.23</x:v>
      </x:c>
      <x:c r="D121" s="35" t="str">
        <x:v>OBSOLETE</x:v>
      </x:c>
      <x:c r="E121" s="35" t="str">
        <x:v>Germany, Spain</x:v>
      </x:c>
      <x:c r="F121" s="35" t="n">
        <x:v>45567.30625</x:v>
      </x:c>
      <x:c r="G121" s="35" t="str"/>
      <x:c r="H121" s="35" t="str">
        <x:v>obsolete/superseded</x:v>
      </x:c>
      <x:c r="I121" s="35" t="str"/>
      <x:c r="J121" s="35" t="str">
        <x:v>https://hrcportal.ohchr.org/draft-resolutions?sessionID=18724&amp;page=2</x:v>
      </x:c>
    </x:row>
    <x:row r="122" ht="42" customHeight="1">
      <x:c r="A122" s="34" t="str">
        <x:v>57</x:v>
      </x:c>
      <x:c r="B122" s="34" t="str">
        <x:v>18724</x:v>
      </x:c>
      <x:c r="C122" s="34" t="str">
        <x:v>A/HRC/57/L.23/Rev.1</x:v>
      </x:c>
      <x:c r="D122" s="34" t="str">
        <x:v>The human rights to safe drinking water and sanitation</x:v>
      </x:c>
      <x:c r="E122" s="34" t="str">
        <x:v>Germany, Spain</x:v>
      </x:c>
      <x:c r="F122" s="34" t="n">
        <x:v>45572.37708333333</x:v>
      </x:c>
      <x:c r="G122" s="34" t="str"/>
      <x:c r="H122" s="34" t="str">
        <x:v>tabled; no final resolution shown</x:v>
      </x:c>
      <x:c r="I122" s="34" t="str">
        <x:v>Adopted without a vote</x:v>
      </x:c>
      <x:c r="J122" s="34" t="str">
        <x:v>https://hrcportal.ohchr.org/draft-resolutions?sessionID=18724&amp;page=2</x:v>
      </x:c>
    </x:row>
    <x:row r="123" ht="42" customHeight="1">
      <x:c r="A123" s="35" t="str">
        <x:v>57</x:v>
      </x:c>
      <x:c r="B123" s="35" t="str">
        <x:v>18724</x:v>
      </x:c>
      <x:c r="C123" s="35" t="str">
        <x:v>A/HRC/57/L.24</x:v>
      </x:c>
      <x:c r="D123" s="35" t="str">
        <x:v>Situation of human rights in Afghanistan</x:v>
      </x:c>
      <x:c r="E123" s="35" t="str">
        <x:v>Hungary (on behalf of the European Union)</x:v>
      </x:c>
      <x:c r="F123" s="35" t="n">
        <x:v>45567.339583333334</x:v>
      </x:c>
      <x:c r="G123" s="35" t="str"/>
      <x:c r="H123" s="35" t="str">
        <x:v>tabled; no final resolution shown</x:v>
      </x:c>
      <x:c r="I123" s="35" t="str">
        <x:v>Adopted without a vote</x:v>
      </x:c>
      <x:c r="J123" s="35" t="str">
        <x:v>https://hrcportal.ohchr.org/draft-resolutions?sessionID=18724&amp;page=2</x:v>
      </x:c>
    </x:row>
    <x:row r="124" ht="42" customHeight="1">
      <x:c r="A124" s="34" t="str">
        <x:v>57</x:v>
      </x:c>
      <x:c r="B124" s="34" t="str">
        <x:v>18724</x:v>
      </x:c>
      <x:c r="C124" s="34" t="str">
        <x:v>A/HRC/57/L.25</x:v>
      </x:c>
      <x:c r="D124" s="34" t="str">
        <x:v>Education as a tool to prevent racism, racial discrimination, xenophobia and related intolerance</x:v>
      </x:c>
      <x:c r="E124" s="34" t="str">
        <x:v>Brazil, Colombia, Portugal, South Africa</x:v>
      </x:c>
      <x:c r="F124" s="34" t="n">
        <x:v>45567.34722222222</x:v>
      </x:c>
      <x:c r="G124" s="34" t="str"/>
      <x:c r="H124" s="34" t="str">
        <x:v>tabled; no final resolution shown</x:v>
      </x:c>
      <x:c r="I124" s="34" t="str">
        <x:v>Adopted without a vote</x:v>
      </x:c>
      <x:c r="J124" s="34" t="str">
        <x:v>https://hrcportal.ohchr.org/draft-resolutions?sessionID=18724&amp;page=2</x:v>
      </x:c>
    </x:row>
    <x:row r="125" ht="42" customHeight="1">
      <x:c r="A125" s="35" t="str">
        <x:v>57</x:v>
      </x:c>
      <x:c r="B125" s="35" t="str">
        <x:v>18724</x:v>
      </x:c>
      <x:c r="C125" s="35" t="str">
        <x:v>A/HRC/57/L.26</x:v>
      </x:c>
      <x:c r="D125" s="35" t="str">
        <x:v>Biodiversity and human rights</x:v>
      </x:c>
      <x:c r="E125" s="35" t="str">
        <x:v>Colombia, Costa Rica</x:v>
      </x:c>
      <x:c r="F125" s="35" t="n">
        <x:v>45567.35555555556</x:v>
      </x:c>
      <x:c r="G125" s="35" t="str"/>
      <x:c r="H125" s="35" t="str">
        <x:v>tabled; no final resolution shown</x:v>
      </x:c>
      <x:c r="I125" s="35" t="str">
        <x:v>Adopted without a vote</x:v>
      </x:c>
      <x:c r="J125" s="35" t="str">
        <x:v>https://hrcportal.ohchr.org/draft-resolutions?sessionID=18724&amp;page=2</x:v>
      </x:c>
    </x:row>
    <x:row r="126" ht="42" customHeight="1">
      <x:c r="A126" s="34" t="str">
        <x:v>57</x:v>
      </x:c>
      <x:c r="B126" s="34" t="str">
        <x:v>18724</x:v>
      </x:c>
      <x:c r="C126" s="34" t="str">
        <x:v>A/HRC/57/L.27</x:v>
      </x:c>
      <x:c r="D126" s="34" t="str">
        <x:v>Human rights of migrants</x:v>
      </x:c>
      <x:c r="E126" s="34" t="str">
        <x:v>Mexico</x:v>
      </x:c>
      <x:c r="F126" s="34" t="n">
        <x:v>45567.35625</x:v>
      </x:c>
      <x:c r="G126" s="34" t="str">
        <x:v>A/HRC/RES/57/14</x:v>
      </x:c>
      <x:c r="H126" s="34" t="str">
        <x:v>adopted</x:v>
      </x:c>
      <x:c r="I126" s="34" t="str">
        <x:v>Adopted without a vote</x:v>
      </x:c>
      <x:c r="J126" s="34" t="str">
        <x:v>https://hrcportal.ohchr.org/draft-resolutions?sessionID=18724&amp;page=3</x:v>
      </x:c>
    </x:row>
    <x:row r="127" ht="42" customHeight="1">
      <x:c r="A127" s="35" t="str">
        <x:v>57</x:v>
      </x:c>
      <x:c r="B127" s="35" t="str">
        <x:v>18724</x:v>
      </x:c>
      <x:c r="C127" s="35" t="str">
        <x:v>A/HRC/57/L.28</x:v>
      </x:c>
      <x:c r="D127" s="35" t="str">
        <x:v>The promotion, protection and enjoyment of human rights on the Internet</x:v>
      </x:c>
      <x:c r="E127" s="35" t="str">
        <x:v>Sweden, Brazil, Tunisia, United States of America</x:v>
      </x:c>
      <x:c r="F127" s="35" t="n">
        <x:v>45567.36041666667</x:v>
      </x:c>
      <x:c r="G127" s="35" t="str"/>
      <x:c r="H127" s="35" t="str">
        <x:v>tabled; no final resolution shown</x:v>
      </x:c>
      <x:c r="I127" s="35" t="str">
        <x:v>Adopted without a vote Oral Revision - A/HRC/57/L.28</x:v>
      </x:c>
      <x:c r="J127" s="35" t="str">
        <x:v>https://hrcportal.ohchr.org/draft-resolutions?sessionID=18724&amp;page=3</x:v>
      </x:c>
    </x:row>
    <x:row r="128" ht="42" customHeight="1">
      <x:c r="A128" s="34" t="str">
        <x:v>57</x:v>
      </x:c>
      <x:c r="B128" s="34" t="str">
        <x:v>18724</x:v>
      </x:c>
      <x:c r="C128" s="34" t="str">
        <x:v>A/HRC/57/L.29</x:v>
      </x:c>
      <x:c r="D128" s="34" t="str">
        <x:v>OBSOLETE</x:v>
      </x:c>
      <x:c r="E128" s="34" t="str">
        <x:v>Mexico, Guatemala</x:v>
      </x:c>
      <x:c r="F128" s="34" t="n">
        <x:v>45567.37430555555</x:v>
      </x:c>
      <x:c r="G128" s="34" t="str"/>
      <x:c r="H128" s="34" t="str">
        <x:v>obsolete/superseded</x:v>
      </x:c>
      <x:c r="I128" s="34" t="str"/>
      <x:c r="J128" s="34" t="str">
        <x:v>https://hrcportal.ohchr.org/draft-resolutions?sessionID=18724&amp;page=3</x:v>
      </x:c>
    </x:row>
    <x:row r="129" ht="42" customHeight="1">
      <x:c r="A129" s="35" t="str">
        <x:v>57</x:v>
      </x:c>
      <x:c r="B129" s="35" t="str">
        <x:v>18724</x:v>
      </x:c>
      <x:c r="C129" s="35" t="str">
        <x:v>A/HRC/57/L.29/Rev.1</x:v>
      </x:c>
      <x:c r="D129" s="35" t="str">
        <x:v>Human rights and Indigenous Peoples</x:v>
      </x:c>
      <x:c r="E129" s="35" t="str">
        <x:v>Mexico, Guatemala</x:v>
      </x:c>
      <x:c r="F129" s="35" t="n">
        <x:v>45572.4375</x:v>
      </x:c>
      <x:c r="G129" s="35" t="str"/>
      <x:c r="H129" s="35" t="str">
        <x:v>tabled; no final resolution shown</x:v>
      </x:c>
      <x:c r="I129" s="35" t="str">
        <x:v>Adopted without a vote</x:v>
      </x:c>
      <x:c r="J129" s="35" t="str">
        <x:v>https://hrcportal.ohchr.org/draft-resolutions?sessionID=18724&amp;page=3</x:v>
      </x:c>
    </x:row>
    <x:row r="130" ht="42" customHeight="1">
      <x:c r="A130" s="34" t="str">
        <x:v>57</x:v>
      </x:c>
      <x:c r="B130" s="34" t="str">
        <x:v>18724</x:v>
      </x:c>
      <x:c r="C130" s="34" t="str">
        <x:v>A/HRC/57/L.3</x:v>
      </x:c>
      <x:c r="D130" s="34" t="str">
        <x:v>Terrorism and human rights</x:v>
      </x:c>
      <x:c r="E130" s="34" t="str">
        <x:v>Mexico, Egypt</x:v>
      </x:c>
      <x:c r="F130" s="34" t="n">
        <x:v>45559.291666666664</x:v>
      </x:c>
      <x:c r="G130" s="34" t="str">
        <x:v>A/HRC/RES/57/11</x:v>
      </x:c>
      <x:c r="H130" s="34" t="str">
        <x:v>adopted</x:v>
      </x:c>
      <x:c r="I130" s="34" t="str">
        <x:v>Adopted without a vote</x:v>
      </x:c>
      <x:c r="J130" s="34" t="str">
        <x:v>https://hrcportal.ohchr.org/draft-resolutions?sessionID=18724&amp;page=0</x:v>
      </x:c>
    </x:row>
    <x:row r="131" ht="42" customHeight="1">
      <x:c r="A131" s="35" t="str">
        <x:v>57</x:v>
      </x:c>
      <x:c r="B131" s="35" t="str">
        <x:v>18724</x:v>
      </x:c>
      <x:c r="C131" s="35" t="str">
        <x:v>A/HRC/57/L.30</x:v>
      </x:c>
      <x:c r="D131" s="35" t="str">
        <x:v>Youth and human rights</x:v>
      </x:c>
      <x:c r="E131" s="35" t="str">
        <x:v>El Salvador, Côte d'Ivoire, Egypt, France, Greece, Italy, Morocco, Philippines, Portugal, Republic of Moldova, Romania, Tunisia, Uzbekistan</x:v>
      </x:c>
      <x:c r="F131" s="35" t="n">
        <x:v>45567.385416666664</x:v>
      </x:c>
      <x:c r="G131" s="35" t="str">
        <x:v>A/HRC/RES/57/30</x:v>
      </x:c>
      <x:c r="H131" s="35" t="str">
        <x:v>adopted</x:v>
      </x:c>
      <x:c r="I131" s="35" t="str">
        <x:v>Adopted without a vote</x:v>
      </x:c>
      <x:c r="J131" s="35" t="str">
        <x:v>https://hrcportal.ohchr.org/draft-resolutions?sessionID=18724&amp;page=3</x:v>
      </x:c>
    </x:row>
    <x:row r="132" ht="42" customHeight="1">
      <x:c r="A132" s="34" t="str">
        <x:v>57</x:v>
      </x:c>
      <x:c r="B132" s="34" t="str">
        <x:v>18724</x:v>
      </x:c>
      <x:c r="C132" s="34" t="str">
        <x:v>A/HRC/57/L.31</x:v>
      </x:c>
      <x:c r="D132" s="34" t="str">
        <x:v>OBSOLETE</x:v>
      </x:c>
      <x:c r="E132" s="34" t="str">
        <x:v>Marshall Islands, Austria, Bahamas, Belgium, Bulgaria, Croatia, Cyprus, Czechia, Denmark, Estonia, Fiji, Finland, France, Germany, Greece, Hungary, Ireland, Italy, Latvia, Lithuania, Luxembourg, Malta, Netherlands (Kingdom of The), Panama, Paraguay, Polan</x:v>
      </x:c>
      <x:c r="F132" s="34" t="n">
        <x:v>45567.39513888889</x:v>
      </x:c>
      <x:c r="G132" s="34" t="str"/>
      <x:c r="H132" s="34" t="str">
        <x:v>obsolete/superseded</x:v>
      </x:c>
      <x:c r="I132" s="34" t="str"/>
      <x:c r="J132" s="34" t="str">
        <x:v>https://hrcportal.ohchr.org/draft-resolutions?sessionID=18724&amp;page=3</x:v>
      </x:c>
    </x:row>
    <x:row r="133" ht="42" customHeight="1">
      <x:c r="A133" s="35" t="str">
        <x:v>57</x:v>
      </x:c>
      <x:c r="B133" s="35" t="str">
        <x:v>18724</x:v>
      </x:c>
      <x:c r="C133" s="35" t="str">
        <x:v>A/HRC/57/L.31/Rev.1</x:v>
      </x:c>
      <x:c r="D133" s="35" t="str">
        <x:v>Mandate of the Special Rapporteur on the promotion and protection of human rights in the context of climate change</x:v>
      </x:c>
      <x:c r="E133" s="35" t="str">
        <x:v>Marshall Islands, Austria, Bahamas, Belgium, Bulgaria, Croatia, Cyprus, Czechia, Denmark, Estonia, Fiji, Finland, France, Germany, Greece, Hungary, Ireland, Italy, Latvia, Lithuania, Luxembourg, Malta, Netherlands (Kingdom of the), Panama, Paraguay, Polan</x:v>
      </x:c>
      <x:c r="F133" s="35" t="n">
        <x:v>45572.458333333336</x:v>
      </x:c>
      <x:c r="G133" s="35" t="str"/>
      <x:c r="H133" s="35" t="str">
        <x:v>tabled; no final resolution shown</x:v>
      </x:c>
      <x:c r="I133" s="35" t="str">
        <x:v>Adopted without a vote Oral Revision - A/HRC/57/L.31/Rev.1</x:v>
      </x:c>
      <x:c r="J133" s="35" t="str">
        <x:v>https://hrcportal.ohchr.org/draft-resolutions?sessionID=18724&amp;page=3</x:v>
      </x:c>
    </x:row>
    <x:row r="134" ht="42" customHeight="1">
      <x:c r="A134" s="34" t="str">
        <x:v>57</x:v>
      </x:c>
      <x:c r="B134" s="34" t="str">
        <x:v>18724</x:v>
      </x:c>
      <x:c r="C134" s="34" t="str">
        <x:v>A/HRC/57/L.32</x:v>
      </x:c>
      <x:c r="D134" s="34" t="str">
        <x:v>Technical assistance and capacity-building for Yemen in the field of human rights</x:v>
      </x:c>
      <x:c r="E134" s="34" t="str">
        <x:v>United Arab Emirates (on behalf of the Group of Arab States)</x:v>
      </x:c>
      <x:c r="F134" s="34" t="n">
        <x:v>45567.40902777778</x:v>
      </x:c>
      <x:c r="G134" s="34" t="str"/>
      <x:c r="H134" s="34" t="str">
        <x:v>tabled; no final resolution shown</x:v>
      </x:c>
      <x:c r="I134" s="34" t="str">
        <x:v>Adopted without a vote</x:v>
      </x:c>
      <x:c r="J134" s="34" t="str">
        <x:v>https://hrcportal.ohchr.org/draft-resolutions?sessionID=18724&amp;page=3</x:v>
      </x:c>
    </x:row>
    <x:row r="135" ht="42" customHeight="1">
      <x:c r="A135" s="35" t="str">
        <x:v>57</x:v>
      </x:c>
      <x:c r="B135" s="35" t="str">
        <x:v>18724</x:v>
      </x:c>
      <x:c r="C135" s="35" t="str">
        <x:v>A/HRC/57/L.33</x:v>
      </x:c>
      <x:c r="D135" s="35" t="str">
        <x:v>Promoting accessibility for the full enjoyment of all human rights by all</x:v>
      </x:c>
      <x:c r="E135" s="35" t="str">
        <x:v>China, Cameroon, Honduras, Pakistan, Türkiye</x:v>
      </x:c>
      <x:c r="F135" s="35" t="n">
        <x:v>45567.42152777778</x:v>
      </x:c>
      <x:c r="G135" s="35" t="str"/>
      <x:c r="H135" s="35" t="str">
        <x:v>tabled; no final resolution shown</x:v>
      </x:c>
      <x:c r="I135" s="35" t="str">
        <x:v>Adopted without a vote Oral Revision - A/HRC/57/L.33</x:v>
      </x:c>
      <x:c r="J135" s="35" t="str">
        <x:v>https://hrcportal.ohchr.org/draft-resolutions?sessionID=18724&amp;page=3</x:v>
      </x:c>
    </x:row>
    <x:row r="136" ht="42" customHeight="1">
      <x:c r="A136" s="34" t="str">
        <x:v>57</x:v>
      </x:c>
      <x:c r="B136" s="34" t="str">
        <x:v>18724</x:v>
      </x:c>
      <x:c r="C136" s="34" t="str">
        <x:v>A/HRC/57/L.34</x:v>
      </x:c>
      <x:c r="D136" s="34" t="str">
        <x:v>Equal participation in political and public affairs</x:v>
      </x:c>
      <x:c r="E136" s="34" t="str">
        <x:v>Czechia, Botswana, Indonesia, Netherlands (Kingdom of the), Peru</x:v>
      </x:c>
      <x:c r="F136" s="34" t="n">
        <x:v>45567.43402777778</x:v>
      </x:c>
      <x:c r="G136" s="34" t="str"/>
      <x:c r="H136" s="34" t="str">
        <x:v>tabled; no final resolution shown</x:v>
      </x:c>
      <x:c r="I136" s="34" t="str">
        <x:v>Adopted without a vote</x:v>
      </x:c>
      <x:c r="J136" s="34" t="str">
        <x:v>https://hrcportal.ohchr.org/draft-resolutions?sessionID=18724&amp;page=3</x:v>
      </x:c>
    </x:row>
    <x:row r="137" ht="42" customHeight="1">
      <x:c r="A137" s="35" t="str">
        <x:v>57</x:v>
      </x:c>
      <x:c r="B137" s="35" t="str">
        <x:v>18724</x:v>
      </x:c>
      <x:c r="C137" s="35" t="str">
        <x:v>A/HRC/57/L.35</x:v>
      </x:c>
      <x:c r="D137" s="35" t="str">
        <x:v>OBSOLETE</x:v>
      </x:c>
      <x:c r="E137" s="35" t="str">
        <x:v>Kazakhstan, Kyrgyzstan, Uzbekistan</x:v>
      </x:c>
      <x:c r="F137" s="35" t="n">
        <x:v>45567.450694444444</x:v>
      </x:c>
      <x:c r="G137" s="35" t="str"/>
      <x:c r="H137" s="35" t="str">
        <x:v>obsolete/superseded</x:v>
      </x:c>
      <x:c r="I137" s="35" t="str"/>
      <x:c r="J137" s="35" t="str">
        <x:v>https://hrcportal.ohchr.org/draft-resolutions?sessionID=18724&amp;page=4</x:v>
      </x:c>
    </x:row>
    <x:row r="138" ht="42" customHeight="1">
      <x:c r="A138" s="34" t="str">
        <x:v>57</x:v>
      </x:c>
      <x:c r="B138" s="34" t="str">
        <x:v>18724</x:v>
      </x:c>
      <x:c r="C138" s="34" t="str">
        <x:v>A/HRC/57/L.35/Rev.1</x:v>
      </x:c>
      <x:c r="D138" s="34" t="str">
        <x:v>Elimination of domestic violence</x:v>
      </x:c>
      <x:c r="E138" s="34" t="str">
        <x:v>Kazakhstan, Kyrgyzstan, Uzbekistan</x:v>
      </x:c>
      <x:c r="F138" s="34" t="n">
        <x:v>45572.45763888889</x:v>
      </x:c>
      <x:c r="G138" s="34" t="str"/>
      <x:c r="H138" s="34" t="str">
        <x:v>tabled; no final resolution shown</x:v>
      </x:c>
      <x:c r="I138" s="34" t="str">
        <x:v>Adopted without a vote Oral Revision - A/HRC/57/L.35/Rev.1</x:v>
      </x:c>
      <x:c r="J138" s="34" t="str">
        <x:v>https://hrcportal.ohchr.org/draft-resolutions?sessionID=18724&amp;page=4</x:v>
      </x:c>
    </x:row>
    <x:row r="139" ht="42" customHeight="1">
      <x:c r="A139" s="35" t="str">
        <x:v>57</x:v>
      </x:c>
      <x:c r="B139" s="35" t="str">
        <x:v>18724</x:v>
      </x:c>
      <x:c r="C139" s="35" t="str">
        <x:v>A/HRC/57/L.36</x:v>
      </x:c>
      <x:c r="D139" s="35" t="str">
        <x:v>OBSOLETE</x:v>
      </x:c>
      <x:c r="E139" s="35" t="str">
        <x:v>Gambia (on behalf of the Group of African States)</x:v>
      </x:c>
      <x:c r="F139" s="35" t="n">
        <x:v>45567.48125</x:v>
      </x:c>
      <x:c r="G139" s="35" t="str"/>
      <x:c r="H139" s="35" t="str">
        <x:v>obsolete/superseded</x:v>
      </x:c>
      <x:c r="I139" s="35" t="str"/>
      <x:c r="J139" s="35" t="str">
        <x:v>https://hrcportal.ohchr.org/draft-resolutions?sessionID=18724&amp;page=4</x:v>
      </x:c>
    </x:row>
    <x:row r="140" ht="42" customHeight="1">
      <x:c r="A140" s="34" t="str">
        <x:v>57</x:v>
      </x:c>
      <x:c r="B140" s="34" t="str">
        <x:v>18724</x:v>
      </x:c>
      <x:c r="C140" s="34" t="str">
        <x:v>A/HRC/57/L.36/Rev.1</x:v>
      </x:c>
      <x:c r="D140" s="34" t="str">
        <x:v>From rhetoric to reality: a global call for concrete action against racism, racial discrimination, xenophobia and related intolerance</x:v>
      </x:c>
      <x:c r="E140" s="34" t="str">
        <x:v>Gambia (on behalf of Group of African States)</x:v>
      </x:c>
      <x:c r="F140" s="34" t="n">
        <x:v>45573.291666666664</x:v>
      </x:c>
      <x:c r="G140" s="34" t="str"/>
      <x:c r="H140" s="34" t="str">
        <x:v>tabled; no final resolution shown</x:v>
      </x:c>
      <x:c r="I140" s="34" t="str">
        <x:v>Adopted by vote: 30-5-12</x:v>
      </x:c>
      <x:c r="J140" s="34" t="str">
        <x:v>https://hrcportal.ohchr.org/draft-resolutions?sessionID=18724&amp;page=4</x:v>
      </x:c>
    </x:row>
    <x:row r="141" ht="42" customHeight="1">
      <x:c r="A141" s="35" t="str">
        <x:v>57</x:v>
      </x:c>
      <x:c r="B141" s="35" t="str">
        <x:v>18724</x:v>
      </x:c>
      <x:c r="C141" s="35" t="str">
        <x:v>A/HRC/57/L.37</x:v>
      </x:c>
      <x:c r="D141" s="35" t="str">
        <x:v>Assistance technique et renforcement des capacités dans le domaine des droits de l’homme en République démocratique du Congo</x:v>
      </x:c>
      <x:c r="E141" s="35" t="str">
        <x:v>Gambia (on behalf of the Group of African States)</x:v>
      </x:c>
      <x:c r="F141" s="35" t="n">
        <x:v>45568.40972222222</x:v>
      </x:c>
      <x:c r="G141" s="35" t="str"/>
      <x:c r="H141" s="35" t="str">
        <x:v>tabled; no final resolution shown</x:v>
      </x:c>
      <x:c r="I141" s="35" t="str">
        <x:v>Adopted without a vote</x:v>
      </x:c>
      <x:c r="J141" s="35" t="str">
        <x:v>https://hrcportal.ohchr.org/draft-resolutions?sessionID=18724&amp;page=4</x:v>
      </x:c>
    </x:row>
    <x:row r="142" ht="42" customHeight="1">
      <x:c r="A142" s="34" t="str">
        <x:v>57</x:v>
      </x:c>
      <x:c r="B142" s="34" t="str">
        <x:v>18724</x:v>
      </x:c>
      <x:c r="C142" s="34" t="str">
        <x:v>A/HRC/57/L.38</x:v>
      </x:c>
      <x:c r="D142" s="34" t="str">
        <x:v>OBSOLETE</x:v>
      </x:c>
      <x:c r="E142" s="34" t="str">
        <x:v>Gambia (on behalf of Group of African States)</x:v>
      </x:c>
      <x:c r="F142" s="34" t="n">
        <x:v>45568.60138888889</x:v>
      </x:c>
      <x:c r="G142" s="34" t="str"/>
      <x:c r="H142" s="34" t="str">
        <x:v>obsolete/superseded</x:v>
      </x:c>
      <x:c r="I142" s="34" t="str"/>
      <x:c r="J142" s="34" t="str">
        <x:v>https://hrcportal.ohchr.org/draft-resolutions?sessionID=18724&amp;page=4</x:v>
      </x:c>
    </x:row>
    <x:row r="143" ht="42" customHeight="1">
      <x:c r="A143" s="35" t="str">
        <x:v>57</x:v>
      </x:c>
      <x:c r="B143" s="35" t="str">
        <x:v>18724</x:v>
      </x:c>
      <x:c r="C143" s="35" t="str">
        <x:v>A/HRC/57/L.38/Rev.1</x:v>
      </x:c>
      <x:c r="D143" s="35" t="str">
        <x:v>Assistance technique et renforcement des capacités dans le domaine des droits de l’homme en République centrafricaine</x:v>
      </x:c>
      <x:c r="E143" s="35" t="str">
        <x:v>Gambia (on behalf of Group of African States)</x:v>
      </x:c>
      <x:c r="F143" s="35" t="n">
        <x:v>45573.4</x:v>
      </x:c>
      <x:c r="G143" s="35" t="str"/>
      <x:c r="H143" s="35" t="str">
        <x:v>tabled; no final resolution shown</x:v>
      </x:c>
      <x:c r="I143" s="35" t="str">
        <x:v>Adopted without a vote</x:v>
      </x:c>
      <x:c r="J143" s="35" t="str">
        <x:v>https://hrcportal.ohchr.org/draft-resolutions?sessionID=18724&amp;page=4</x:v>
      </x:c>
    </x:row>
    <x:row r="144" ht="42" customHeight="1">
      <x:c r="A144" s="34" t="str">
        <x:v>57</x:v>
      </x:c>
      <x:c r="B144" s="34" t="str">
        <x:v>18724</x:v>
      </x:c>
      <x:c r="C144" s="34" t="str">
        <x:v>A/HRC/57/L.39</x:v>
      </x:c>
      <x:c r="D144" s="34" t="str">
        <x:v>Amendment to draft resolution A/HRC/57/L.30</x:v>
      </x:c>
      <x:c r="E144" s="34" t="str">
        <x:v>Venezuela (Bolivarian Republic of) Belarus, Democratic People's Republic of Korea, Eritrea, Iran (Islamic Republic of), Russian Federation, Syrian Arab Republic</x:v>
      </x:c>
      <x:c r="F144" s="34" t="n">
        <x:v>45569.51527777778</x:v>
      </x:c>
      <x:c r="G144" s="34" t="str"/>
      <x:c r="H144" s="34" t="str">
        <x:v>tabled; no final resolution shown</x:v>
      </x:c>
      <x:c r="I144" s="34" t="str">
        <x:v>Rejected by vote: 11-24-11</x:v>
      </x:c>
      <x:c r="J144" s="34" t="str">
        <x:v>https://hrcportal.ohchr.org/draft-resolutions?sessionID=18724&amp;page=4</x:v>
      </x:c>
    </x:row>
    <x:row r="145" ht="42" customHeight="1">
      <x:c r="A145" s="35" t="str">
        <x:v>57</x:v>
      </x:c>
      <x:c r="B145" s="35" t="str">
        <x:v>18724</x:v>
      </x:c>
      <x:c r="C145" s="35" t="str">
        <x:v>A/HRC/57/L.4</x:v>
      </x:c>
      <x:c r="D145" s="35" t="str">
        <x:v>Situation of human rights in the Russian Federation</x:v>
      </x:c>
      <x:c r="E145" s="35" t="str">
        <x:v>Luxembourg, Austria, Belgium, Bulgaria, Croatia, Cyprus, Czechia, Denmark, Estonia, Finland, France, Germany, Greece, Ireland, Italy, Latvia, Lithuania, Malta, Netherlands, Poland, Portugal, Romania, Slovakia, Slovenia, Spain and Sweden</x:v>
      </x:c>
      <x:c r="F145" s="35" t="n">
        <x:v>45562.53472222222</x:v>
      </x:c>
      <x:c r="G145" s="35" t="str">
        <x:v>A/HRC/RES/57/20</x:v>
      </x:c>
      <x:c r="H145" s="35" t="str">
        <x:v>adopted</x:v>
      </x:c>
      <x:c r="I145" s="35" t="str">
        <x:v>Adopted by vote: 20-8-19</x:v>
      </x:c>
      <x:c r="J145" s="35" t="str">
        <x:v>https://hrcportal.ohchr.org/draft-resolutions?sessionID=18724&amp;page=0</x:v>
      </x:c>
    </x:row>
    <x:row r="146" ht="42" customHeight="1">
      <x:c r="A146" s="34" t="str">
        <x:v>57</x:v>
      </x:c>
      <x:c r="B146" s="34" t="str">
        <x:v>18724</x:v>
      </x:c>
      <x:c r="C146" s="34" t="str">
        <x:v>A/HRC/57/L.40</x:v>
      </x:c>
      <x:c r="D146" s="34" t="str">
        <x:v>Amendment to draft resolution A/HRC/57/L.8</x:v>
      </x:c>
      <x:c r="E146" s="34" t="str">
        <x:v>Eritrea</x:v>
      </x:c>
      <x:c r="F146" s="34" t="n">
        <x:v>45572.361805555556</x:v>
      </x:c>
      <x:c r="G146" s="34" t="str"/>
      <x:c r="H146" s="34" t="str">
        <x:v>tabled; no final resolution shown</x:v>
      </x:c>
      <x:c r="I146" s="34" t="str">
        <x:v>Rejected by vote: 5-21-20</x:v>
      </x:c>
      <x:c r="J146" s="34" t="str">
        <x:v>https://hrcportal.ohchr.org/draft-resolutions?sessionID=18724&amp;page=4</x:v>
      </x:c>
    </x:row>
    <x:row r="147" ht="42" customHeight="1">
      <x:c r="A147" s="35" t="str">
        <x:v>57</x:v>
      </x:c>
      <x:c r="B147" s="35" t="str">
        <x:v>18724</x:v>
      </x:c>
      <x:c r="C147" s="35" t="str">
        <x:v>A/HRC/57/L.41</x:v>
      </x:c>
      <x:c r="D147" s="35" t="str">
        <x:v>Amendment to draft resolution A/HRC/57/L.8</x:v>
      </x:c>
      <x:c r="E147" s="35" t="str">
        <x:v>Cuba</x:v>
      </x:c>
      <x:c r="F147" s="35" t="n">
        <x:v>45572.37777777778</x:v>
      </x:c>
      <x:c r="G147" s="35" t="str"/>
      <x:c r="H147" s="35" t="str">
        <x:v>tabled; no final resolution shown</x:v>
      </x:c>
      <x:c r="I147" s="35" t="str">
        <x:v>Rejected b vote : 11-22-13</x:v>
      </x:c>
      <x:c r="J147" s="35" t="str">
        <x:v>https://hrcportal.ohchr.org/draft-resolutions?sessionID=18724&amp;page=4</x:v>
      </x:c>
    </x:row>
    <x:row r="148" ht="42" customHeight="1">
      <x:c r="A148" s="34" t="str">
        <x:v>57</x:v>
      </x:c>
      <x:c r="B148" s="34" t="str">
        <x:v>18724</x:v>
      </x:c>
      <x:c r="C148" s="34" t="str">
        <x:v>A/HRC/57/L.42</x:v>
      </x:c>
      <x:c r="D148" s="34" t="str">
        <x:v>Amendment to draft resolution A/HRC/57/L.8</x:v>
      </x:c>
      <x:c r="E148" s="34" t="str">
        <x:v>Belarus</x:v>
      </x:c>
      <x:c r="F148" s="34" t="n">
        <x:v>45572.42083333333</x:v>
      </x:c>
      <x:c r="G148" s="34" t="str"/>
      <x:c r="H148" s="34" t="str">
        <x:v>tabled; no final resolution shown</x:v>
      </x:c>
      <x:c r="I148" s="34" t="str">
        <x:v>Rejected by vote: 6-22-18</x:v>
      </x:c>
      <x:c r="J148" s="34" t="str">
        <x:v>https://hrcportal.ohchr.org/draft-resolutions?sessionID=18724&amp;page=5</x:v>
      </x:c>
    </x:row>
    <x:row r="149" ht="42" customHeight="1">
      <x:c r="A149" s="35" t="str">
        <x:v>57</x:v>
      </x:c>
      <x:c r="B149" s="35" t="str">
        <x:v>18724</x:v>
      </x:c>
      <x:c r="C149" s="35" t="str">
        <x:v>A/HRC/57/L.43</x:v>
      </x:c>
      <x:c r="D149" s="35" t="str">
        <x:v>Amendment to draft resolution A/HRC/57/L.8</x:v>
      </x:c>
      <x:c r="E149" s="35" t="str">
        <x:v>Russian Federation</x:v>
      </x:c>
      <x:c r="F149" s="35" t="n">
        <x:v>45572.44027777778</x:v>
      </x:c>
      <x:c r="G149" s="35" t="str"/>
      <x:c r="H149" s="35" t="str">
        <x:v>tabled; no final resolution shown</x:v>
      </x:c>
      <x:c r="I149" s="35" t="str">
        <x:v>Rejected by vote: 8-21-18</x:v>
      </x:c>
      <x:c r="J149" s="35" t="str">
        <x:v>https://hrcportal.ohchr.org/draft-resolutions?sessionID=18724&amp;page=5</x:v>
      </x:c>
    </x:row>
    <x:row r="150" ht="42" customHeight="1">
      <x:c r="A150" s="34" t="str">
        <x:v>57</x:v>
      </x:c>
      <x:c r="B150" s="34" t="str">
        <x:v>18724</x:v>
      </x:c>
      <x:c r="C150" s="34" t="str">
        <x:v>A/HRC/57/L.44</x:v>
      </x:c>
      <x:c r="D150" s="34" t="str">
        <x:v>Amendment to draft resolution A/HRC/57/L.31</x:v>
      </x:c>
      <x:c r="E150" s="34" t="str">
        <x:v>Saudi Arabia</x:v>
      </x:c>
      <x:c r="F150" s="34" t="n">
        <x:v>45572.44930555556</x:v>
      </x:c>
      <x:c r="G150" s="34" t="str"/>
      <x:c r="H150" s="34" t="str">
        <x:v>tabled; no final resolution shown</x:v>
      </x:c>
      <x:c r="I150" s="34" t="str">
        <x:v>WITHDRAWN</x:v>
      </x:c>
      <x:c r="J150" s="34" t="str">
        <x:v>https://hrcportal.ohchr.org/draft-resolutions?sessionID=18724&amp;page=5</x:v>
      </x:c>
    </x:row>
    <x:row r="151" ht="42" customHeight="1">
      <x:c r="A151" s="35" t="str">
        <x:v>57</x:v>
      </x:c>
      <x:c r="B151" s="35" t="str">
        <x:v>18724</x:v>
      </x:c>
      <x:c r="C151" s="35" t="str">
        <x:v>A/HRC/57/L.45</x:v>
      </x:c>
      <x:c r="D151" s="35" t="str">
        <x:v>Amendment to draft resolution A/HRC/57/L.31</x:v>
      </x:c>
      <x:c r="E151" s="35" t="str">
        <x:v>Saudi Arabia</x:v>
      </x:c>
      <x:c r="F151" s="35" t="n">
        <x:v>45572.450694444444</x:v>
      </x:c>
      <x:c r="G151" s="35" t="str"/>
      <x:c r="H151" s="35" t="str">
        <x:v>tabled; no final resolution shown</x:v>
      </x:c>
      <x:c r="I151" s="35" t="str">
        <x:v>WITHDRAWN</x:v>
      </x:c>
      <x:c r="J151" s="35" t="str">
        <x:v>https://hrcportal.ohchr.org/draft-resolutions?sessionID=18724&amp;page=5</x:v>
      </x:c>
    </x:row>
    <x:row r="152" ht="42" customHeight="1">
      <x:c r="A152" s="34" t="str">
        <x:v>57</x:v>
      </x:c>
      <x:c r="B152" s="34" t="str">
        <x:v>18724</x:v>
      </x:c>
      <x:c r="C152" s="34" t="str">
        <x:v>A/HRC/57/L.5</x:v>
      </x:c>
      <x:c r="D152" s="34" t="str">
        <x:v>The role of good governance in the promotion and protection of human rights</x:v>
      </x:c>
      <x:c r="E152" s="34" t="str">
        <x:v>Poland, Australia, Chile, Republic of Korea and South Africa</x:v>
      </x:c>
      <x:c r="F152" s="34" t="n">
        <x:v>45562.54652777778</x:v>
      </x:c>
      <x:c r="G152" s="34" t="str">
        <x:v>A/HRC/RES/57/5</x:v>
      </x:c>
      <x:c r="H152" s="34" t="str">
        <x:v>adopted</x:v>
      </x:c>
      <x:c r="I152" s="34" t="str">
        <x:v>Adopted without a vote</x:v>
      </x:c>
      <x:c r="J152" s="34" t="str">
        <x:v>https://hrcportal.ohchr.org/draft-resolutions?sessionID=18724&amp;page=0</x:v>
      </x:c>
    </x:row>
    <x:row r="153" ht="42" customHeight="1">
      <x:c r="A153" s="35" t="str">
        <x:v>57</x:v>
      </x:c>
      <x:c r="B153" s="35" t="str">
        <x:v>18724</x:v>
      </x:c>
      <x:c r="C153" s="35" t="str">
        <x:v>A/HRC/57/L.6</x:v>
      </x:c>
      <x:c r="D153" s="35" t="str">
        <x:v>Local government and human rights</x:v>
      </x:c>
      <x:c r="E153" s="35" t="str">
        <x:v>Republic of Korea, Chile, Egypt, Romania</x:v>
      </x:c>
      <x:c r="F153" s="35" t="n">
        <x:v>45565.447916666664</x:v>
      </x:c>
      <x:c r="G153" s="35" t="str">
        <x:v>A/HRC/RES/57/12</x:v>
      </x:c>
      <x:c r="H153" s="35" t="str">
        <x:v>adopted</x:v>
      </x:c>
      <x:c r="I153" s="35" t="str">
        <x:v>Adopted without a vote</x:v>
      </x:c>
      <x:c r="J153" s="35" t="str">
        <x:v>https://hrcportal.ohchr.org/draft-resolutions?sessionID=18724&amp;page=0</x:v>
      </x:c>
    </x:row>
    <x:row r="154" ht="42" customHeight="1">
      <x:c r="A154" s="34" t="str">
        <x:v>57</x:v>
      </x:c>
      <x:c r="B154" s="34" t="str">
        <x:v>18724</x:v>
      </x:c>
      <x:c r="C154" s="34" t="str">
        <x:v>A/HRC/57/L.7</x:v>
      </x:c>
      <x:c r="D154" s="34" t="str">
        <x:v>Countering cyberbullying</x:v>
      </x:c>
      <x:c r="E154" s="34" t="str">
        <x:v>Argentina, Germany, Greece, Israel</x:v>
      </x:c>
      <x:c r="F154" s="34" t="n">
        <x:v>45565.62847222222</x:v>
      </x:c>
      <x:c r="G154" s="34" t="str">
        <x:v>A/HRC/RES/57/6</x:v>
      </x:c>
      <x:c r="H154" s="34" t="str">
        <x:v>adopted</x:v>
      </x:c>
      <x:c r="I154" s="34" t="str">
        <x:v>Adopted without a vote</x:v>
      </x:c>
      <x:c r="J154" s="34" t="str">
        <x:v>https://hrcportal.ohchr.org/draft-resolutions?sessionID=18724&amp;page=0</x:v>
      </x:c>
    </x:row>
    <x:row r="155" ht="42" customHeight="1">
      <x:c r="A155" s="35" t="str">
        <x:v>57</x:v>
      </x:c>
      <x:c r="B155" s="35" t="str">
        <x:v>18724</x:v>
      </x:c>
      <x:c r="C155" s="35" t="str">
        <x:v>A/HRC/57/L.8</x:v>
      </x:c>
      <x:c r="D155" s="35" t="str">
        <x:v>Situation of human rights in the Bolivarian Republic of Venezuela</x:v>
      </x:c>
      <x:c r="E155" s="35" t="str">
        <x:v>Canada, Argentina, Chile, Ecuador, Guatemala, Paraguay, Uruguay</x:v>
      </x:c>
      <x:c r="F155" s="35" t="n">
        <x:v>45565.65833333333</x:v>
      </x:c>
      <x:c r="G155" s="35" t="str">
        <x:v>A/HRC/RES/57/36</x:v>
      </x:c>
      <x:c r="H155" s="35" t="str">
        <x:v>adopted</x:v>
      </x:c>
      <x:c r="I155" s="35" t="str">
        <x:v>Adopted by vote: 23-6-18 Oral Revision - A/HRC/57/L.8</x:v>
      </x:c>
      <x:c r="J155" s="35" t="str">
        <x:v>https://hrcportal.ohchr.org/draft-resolutions?sessionID=18724&amp;page=0</x:v>
      </x:c>
    </x:row>
    <x:row r="156" ht="42" customHeight="1">
      <x:c r="A156" s="34" t="str">
        <x:v>57</x:v>
      </x:c>
      <x:c r="B156" s="34" t="str">
        <x:v>18724</x:v>
      </x:c>
      <x:c r="C156" s="34" t="str">
        <x:v>A/HRC/57/L.9</x:v>
      </x:c>
      <x:c r="D156" s="34" t="str">
        <x:v>Promotion of a democratic and equitable international order</x:v>
      </x:c>
      <x:c r="E156" s="34" t="str">
        <x:v>Cuba</x:v>
      </x:c>
      <x:c r="F156" s="34" t="n">
        <x:v>45566.291666666664</x:v>
      </x:c>
      <x:c r="G156" s="34" t="str">
        <x:v>A/HRC/RES/57/7</x:v>
      </x:c>
      <x:c r="H156" s="34" t="str">
        <x:v>adopted</x:v>
      </x:c>
      <x:c r="I156" s="34" t="str">
        <x:v>Adopted by vote: 27-5-15</x:v>
      </x:c>
      <x:c r="J156" s="34" t="str">
        <x:v>https://hrcportal.ohchr.org/draft-resolutions?sessionID=18724&amp;page=0</x:v>
      </x:c>
    </x:row>
    <x:row r="157" ht="42" customHeight="1">
      <x:c r="A157" s="35" t="str">
        <x:v>57</x:v>
      </x:c>
      <x:c r="B157" s="35" t="str">
        <x:v>18724</x:v>
      </x:c>
      <x:c r="C157" s="35" t="str">
        <x:v>Oral amendment to L.8</x:v>
      </x:c>
      <x:c r="D157" s="35" t="str">
        <x:v>Oral amendment to A/HRC/57/L.8</x:v>
      </x:c>
      <x:c r="E157" s="35" t="str">
        <x:v>Cuba</x:v>
      </x:c>
      <x:c r="F157" s="35" t="n">
        <x:v>46219</x:v>
      </x:c>
      <x:c r="G157" s="35" t="str"/>
      <x:c r="H157" s="35" t="str">
        <x:v>tabled; no final resolution shown</x:v>
      </x:c>
      <x:c r="I157" s="35" t="str">
        <x:v>Rejected by vote: 6-23-18</x:v>
      </x:c>
      <x:c r="J157" s="35" t="str">
        <x:v>https://hrcportal.ohchr.org/draft-resolutions?sessionID=18724&amp;page=0</x:v>
      </x:c>
    </x:row>
    <x:row r="158" ht="42" customHeight="1">
      <x:c r="A158" s="34" t="str">
        <x:v>58</x:v>
      </x:c>
      <x:c r="B158" s="34" t="str">
        <x:v>18597</x:v>
      </x:c>
      <x:c r="C158" s="34" t="str">
        <x:v>A/HRC/58/L.1</x:v>
      </x:c>
      <x:c r="D158" s="34" t="str">
        <x:v>The negative impact of unilateral coercive measures on the enjoyment of human rights</x:v>
      </x:c>
      <x:c r="E158" s="34" t="str">
        <x:v>Uganda (on behalf of the Movement of Non-Aligned Countries)</x:v>
      </x:c>
      <x:c r="F158" s="34" t="n">
        <x:v>45729.333333333336</x:v>
      </x:c>
      <x:c r="G158" s="34" t="str">
        <x:v>A/HRC/RES/58/3</x:v>
      </x:c>
      <x:c r="H158" s="34" t="str">
        <x:v>adopted</x:v>
      </x:c>
      <x:c r="I158" s="34" t="str">
        <x:v>Adopted by vote: 28-16-3</x:v>
      </x:c>
      <x:c r="J158" s="34" t="str">
        <x:v>https://hrcportal.ohchr.org/draft-resolutions?sessionID=18597&amp;page=0</x:v>
      </x:c>
    </x:row>
    <x:row r="159" ht="42" customHeight="1">
      <x:c r="A159" s="35" t="str">
        <x:v>58</x:v>
      </x:c>
      <x:c r="B159" s="35" t="str">
        <x:v>18597</x:v>
      </x:c>
      <x:c r="C159" s="35" t="str">
        <x:v>A/HRC/58/L.10</x:v>
      </x:c>
      <x:c r="D159" s="35" t="str">
        <x:v>Situation of human rights in Belarus</x:v>
      </x:c>
      <x:c r="E159" s="35" t="str">
        <x:v>Poland (on behalf of European Union)</x:v>
      </x:c>
      <x:c r="F159" s="35" t="n">
        <x:v>45736.561111111114</x:v>
      </x:c>
      <x:c r="G159" s="35" t="str">
        <x:v>A/HRC/RES/58/19</x:v>
      </x:c>
      <x:c r="H159" s="35" t="str">
        <x:v>adopted</x:v>
      </x:c>
      <x:c r="I159" s="35" t="str">
        <x:v>Adopted by vote: 25-5-17</x:v>
      </x:c>
      <x:c r="J159" s="35" t="str">
        <x:v>https://hrcportal.ohchr.org/draft-resolutions?sessionID=18597&amp;page=1</x:v>
      </x:c>
    </x:row>
    <x:row r="160" ht="42" customHeight="1">
      <x:c r="A160" s="34" t="str">
        <x:v>58</x:v>
      </x:c>
      <x:c r="B160" s="34" t="str">
        <x:v>18597</x:v>
      </x:c>
      <x:c r="C160" s="34" t="str">
        <x:v>A/HRC/58/L.11</x:v>
      </x:c>
      <x:c r="D160" s="34" t="str">
        <x:v>OBSOLETE</x:v>
      </x:c>
      <x:c r="E160" s="34" t="str">
        <x:v>Poland (on behalf of European Union)</x:v>
      </x:c>
      <x:c r="F160" s="34" t="n">
        <x:v>45736.66180555556</x:v>
      </x:c>
      <x:c r="G160" s="34" t="str"/>
      <x:c r="H160" s="34" t="str">
        <x:v>obsolete/superseded</x:v>
      </x:c>
      <x:c r="I160" s="34" t="str"/>
      <x:c r="J160" s="34" t="str">
        <x:v>https://hrcportal.ohchr.org/draft-resolutions?sessionID=18597&amp;page=1</x:v>
      </x:c>
    </x:row>
    <x:row r="161" ht="42" customHeight="1">
      <x:c r="A161" s="35" t="str">
        <x:v>58</x:v>
      </x:c>
      <x:c r="B161" s="35" t="str">
        <x:v>18597</x:v>
      </x:c>
      <x:c r="C161" s="35" t="str">
        <x:v>A/HRC/58/L.11/Rev.1</x:v>
      </x:c>
      <x:c r="D161" s="35" t="str">
        <x:v>Situation of human rights in Myanmar</x:v>
      </x:c>
      <x:c r="E161" s="35" t="str">
        <x:v>Poland (on behalf of European Union)</x:v>
      </x:c>
      <x:c r="F161" s="35" t="n">
        <x:v>45743.49166666667</x:v>
      </x:c>
      <x:c r="G161" s="35" t="str">
        <x:v>A/HRC/RES/58/20</x:v>
      </x:c>
      <x:c r="H161" s="35" t="str">
        <x:v>adopted</x:v>
      </x:c>
      <x:c r="I161" s="35" t="str">
        <x:v>Adopted without a vote Oral Revision - A/HRC/58/L.11/Rev.1</x:v>
      </x:c>
      <x:c r="J161" s="35" t="str">
        <x:v>https://hrcportal.ohchr.org/draft-resolutions?sessionID=18597&amp;page=1</x:v>
      </x:c>
    </x:row>
    <x:row r="162" ht="42" customHeight="1">
      <x:c r="A162" s="34" t="str">
        <x:v>58</x:v>
      </x:c>
      <x:c r="B162" s="34" t="str">
        <x:v>18597</x:v>
      </x:c>
      <x:c r="C162" s="34" t="str">
        <x:v>A/HRC/58/L.12</x:v>
      </x:c>
      <x:c r="D162" s="34" t="str">
        <x:v>Mandate of Special Rapporteur on the right to food</x:v>
      </x:c>
      <x:c r="E162" s="34" t="str">
        <x:v>Cuba</x:v>
      </x:c>
      <x:c r="F162" s="34" t="n">
        <x:v>45736.66458333333</x:v>
      </x:c>
      <x:c r="G162" s="34" t="str">
        <x:v>A/HRC/RES/58/10</x:v>
      </x:c>
      <x:c r="H162" s="34" t="str">
        <x:v>adopted</x:v>
      </x:c>
      <x:c r="I162" s="34" t="str">
        <x:v>Adopted without a vote</x:v>
      </x:c>
      <x:c r="J162" s="34" t="str">
        <x:v>https://hrcportal.ohchr.org/draft-resolutions?sessionID=18597&amp;page=1</x:v>
      </x:c>
    </x:row>
    <x:row r="163" ht="42" customHeight="1">
      <x:c r="A163" s="35" t="str">
        <x:v>58</x:v>
      </x:c>
      <x:c r="B163" s="35" t="str">
        <x:v>18597</x:v>
      </x:c>
      <x:c r="C163" s="35" t="str">
        <x:v>A/HRC/58/L.13</x:v>
      </x:c>
      <x:c r="D163" s="35" t="str">
        <x:v>Promotion of the enjoyment of the cultural rights of everyone and respect for cultural diversity</x:v>
      </x:c>
      <x:c r="E163" s="35" t="str">
        <x:v>Cuba</x:v>
      </x:c>
      <x:c r="F163" s="35" t="n">
        <x:v>45736.66527777778</x:v>
      </x:c>
      <x:c r="G163" s="35" t="str">
        <x:v>A/HRC/RES/58/11</x:v>
      </x:c>
      <x:c r="H163" s="35" t="str">
        <x:v>adopted</x:v>
      </x:c>
      <x:c r="I163" s="35" t="str">
        <x:v>Adopted without a vote</x:v>
      </x:c>
      <x:c r="J163" s="35" t="str">
        <x:v>https://hrcportal.ohchr.org/draft-resolutions?sessionID=18597&amp;page=1</x:v>
      </x:c>
    </x:row>
    <x:row r="164" ht="42" customHeight="1">
      <x:c r="A164" s="34" t="str">
        <x:v>58</x:v>
      </x:c>
      <x:c r="B164" s="34" t="str">
        <x:v>18597</x:v>
      </x:c>
      <x:c r="C164" s="34" t="str">
        <x:v>A/HRC/58/L.14</x:v>
      </x:c>
      <x:c r="D164" s="34" t="str">
        <x:v>Effects of foreign debt and other related international financial obligations of States on the full enjoyment of all human rights, particularly economic, social and cultural rights</x:v>
      </x:c>
      <x:c r="E164" s="34" t="str">
        <x:v>Cuba</x:v>
      </x:c>
      <x:c r="F164" s="34" t="n">
        <x:v>45736.665972222225</x:v>
      </x:c>
      <x:c r="G164" s="34" t="str">
        <x:v>A/HRC/RES/58/12</x:v>
      </x:c>
      <x:c r="H164" s="34" t="str">
        <x:v>adopted</x:v>
      </x:c>
      <x:c r="I164" s="34" t="str">
        <x:v>Adopted by vote: 29-12-6</x:v>
      </x:c>
      <x:c r="J164" s="34" t="str">
        <x:v>https://hrcportal.ohchr.org/draft-resolutions?sessionID=18597&amp;page=1</x:v>
      </x:c>
    </x:row>
    <x:row r="165" ht="42" customHeight="1">
      <x:c r="A165" s="35" t="str">
        <x:v>58</x:v>
      </x:c>
      <x:c r="B165" s="35" t="str">
        <x:v>18597</x:v>
      </x:c>
      <x:c r="C165" s="35" t="str">
        <x:v>A/HRC/58/L.15</x:v>
      </x:c>
      <x:c r="D165" s="35" t="str">
        <x:v>Women, diplomacy and human rights</x:v>
      </x:c>
      <x:c r="E165" s="35" t="str">
        <x:v>Morocco, Chile, Maldives, Mauritius, Mexico, Slovenia, Spain</x:v>
      </x:c>
      <x:c r="F165" s="35" t="n">
        <x:v>45736.666666666664</x:v>
      </x:c>
      <x:c r="G165" s="35" t="str">
        <x:v>A/HRC/RES/58/15</x:v>
      </x:c>
      <x:c r="H165" s="35" t="str">
        <x:v>adopted</x:v>
      </x:c>
      <x:c r="I165" s="35" t="str">
        <x:v>Adopted without a vote</x:v>
      </x:c>
      <x:c r="J165" s="35" t="str">
        <x:v>https://hrcportal.ohchr.org/draft-resolutions?sessionID=18597&amp;page=1</x:v>
      </x:c>
    </x:row>
    <x:row r="166" ht="42" customHeight="1">
      <x:c r="A166" s="34" t="str">
        <x:v>58</x:v>
      </x:c>
      <x:c r="B166" s="34" t="str">
        <x:v>18597</x:v>
      </x:c>
      <x:c r="C166" s="34" t="str">
        <x:v>A/HRC/58/L.16</x:v>
      </x:c>
      <x:c r="D166" s="34" t="str">
        <x:v>The negative impact of the non-repatriation of funds of illicit origin to the countries of origin on the enjoyment of human rights, and the importance of improving international cooperation</x:v>
      </x:c>
      <x:c r="E166" s="34" t="str">
        <x:v>Ghana (on behalf of Group of African States)</x:v>
      </x:c>
      <x:c r="F166" s="34" t="n">
        <x:v>45736.7</x:v>
      </x:c>
      <x:c r="G166" s="34" t="str">
        <x:v>A/HRC/RES/58/7</x:v>
      </x:c>
      <x:c r="H166" s="34" t="str">
        <x:v>adopted</x:v>
      </x:c>
      <x:c r="I166" s="34" t="str">
        <x:v>Adopted by vote: 29-15-3</x:v>
      </x:c>
      <x:c r="J166" s="34" t="str">
        <x:v>https://hrcportal.ohchr.org/draft-resolutions?sessionID=18597&amp;page=1</x:v>
      </x:c>
    </x:row>
    <x:row r="167" ht="42" customHeight="1">
      <x:c r="A167" s="35" t="str">
        <x:v>58</x:v>
      </x:c>
      <x:c r="B167" s="35" t="str">
        <x:v>18597</x:v>
      </x:c>
      <x:c r="C167" s="35" t="str">
        <x:v>A/HRC/58/L.17</x:v>
      </x:c>
      <x:c r="D167" s="35" t="str">
        <x:v>OBSOLETE</x:v>
      </x:c>
      <x:c r="E167" s="35" t="str">
        <x:v>Romania, Morocco, Norway, Peru, Republic Of Korea, Tunisia​</x:v>
      </x:c>
      <x:c r="F167" s="35" t="n">
        <x:v>45736.74166666667</x:v>
      </x:c>
      <x:c r="G167" s="35" t="str"/>
      <x:c r="H167" s="35" t="str">
        <x:v>obsolete/superseded</x:v>
      </x:c>
      <x:c r="I167" s="35" t="str"/>
      <x:c r="J167" s="35" t="str">
        <x:v>https://hrcportal.ohchr.org/draft-resolutions?sessionID=18597&amp;page=1</x:v>
      </x:c>
    </x:row>
    <x:row r="168" ht="42" customHeight="1">
      <x:c r="A168" s="34" t="str">
        <x:v>58</x:v>
      </x:c>
      <x:c r="B168" s="34" t="str">
        <x:v>18597</x:v>
      </x:c>
      <x:c r="C168" s="34" t="str">
        <x:v>A/HRC/58/L.17/Rev.1</x:v>
      </x:c>
      <x:c r="D168" s="34" t="str">
        <x:v>Human rights, democracy and the rule of law</x:v>
      </x:c>
      <x:c r="E168" s="34" t="str">
        <x:v>Romania, Morocco, Norway, Peru, Republic of Korea, Tunisia</x:v>
      </x:c>
      <x:c r="F168" s="34" t="n">
        <x:v>45743.41180555556</x:v>
      </x:c>
      <x:c r="G168" s="34" t="str">
        <x:v>A/HRC/RES/58/8</x:v>
      </x:c>
      <x:c r="H168" s="34" t="str">
        <x:v>adopted</x:v>
      </x:c>
      <x:c r="I168" s="34" t="str">
        <x:v>Adopted without a vote</x:v>
      </x:c>
      <x:c r="J168" s="34" t="str">
        <x:v>https://hrcportal.ohchr.org/draft-resolutions?sessionID=18597&amp;page=1</x:v>
      </x:c>
    </x:row>
    <x:row r="169" ht="42" customHeight="1">
      <x:c r="A169" s="35" t="str">
        <x:v>58</x:v>
      </x:c>
      <x:c r="B169" s="35" t="str">
        <x:v>18597</x:v>
      </x:c>
      <x:c r="C169" s="35" t="str">
        <x:v>A/HRC/58/L.18</x:v>
      </x:c>
      <x:c r="D169" s="35" t="str">
        <x:v>Combating intolerance, negative stereotyping and stigmatization of, and discrimination, incitement to violence and violence against, persons based on religion or belief</x:v>
      </x:c>
      <x:c r="E169" s="35" t="str">
        <x:v>Pakistan (on behalf of the Organization of Islamic Cooperation)</x:v>
      </x:c>
      <x:c r="F169" s="35" t="n">
        <x:v>45737.333333333336</x:v>
      </x:c>
      <x:c r="G169" s="35" t="str">
        <x:v>A/HRC/RES/58/29</x:v>
      </x:c>
      <x:c r="H169" s="35" t="str">
        <x:v>adopted</x:v>
      </x:c>
      <x:c r="I169" s="35" t="str">
        <x:v>Adopted without a vote</x:v>
      </x:c>
      <x:c r="J169" s="35" t="str">
        <x:v>https://hrcportal.ohchr.org/draft-resolutions?sessionID=18597&amp;page=2</x:v>
      </x:c>
    </x:row>
    <x:row r="170" ht="42" customHeight="1">
      <x:c r="A170" s="34" t="str">
        <x:v>58</x:v>
      </x:c>
      <x:c r="B170" s="34" t="str">
        <x:v>18597</x:v>
      </x:c>
      <x:c r="C170" s="34" t="str">
        <x:v>A/HRC/58/L.19</x:v>
      </x:c>
      <x:c r="D170" s="34" t="str">
        <x:v>Human rights in the occupied Syrian Golan</x:v>
      </x:c>
      <x:c r="E170" s="34" t="str">
        <x:v>Pakistan (on behalf of the Organization of Islamic Cooperation, except Albania)</x:v>
      </x:c>
      <x:c r="F170" s="34" t="n">
        <x:v>45737.334027777775</x:v>
      </x:c>
      <x:c r="G170" s="34" t="str">
        <x:v>A/HRC/RES/58/26</x:v>
      </x:c>
      <x:c r="H170" s="34" t="str">
        <x:v>adopted</x:v>
      </x:c>
      <x:c r="I170" s="34" t="str">
        <x:v>Adopted by vote: 27-6-14</x:v>
      </x:c>
      <x:c r="J170" s="34" t="str">
        <x:v>https://hrcportal.ohchr.org/draft-resolutions?sessionID=18597&amp;page=2</x:v>
      </x:c>
    </x:row>
    <x:row r="171" ht="42" customHeight="1">
      <x:c r="A171" s="35" t="str">
        <x:v>58</x:v>
      </x:c>
      <x:c r="B171" s="35" t="str">
        <x:v>18597</x:v>
      </x:c>
      <x:c r="C171" s="35" t="str">
        <x:v>A/HRC/58/L.2</x:v>
      </x:c>
      <x:c r="D171" s="35" t="str">
        <x:v>Situation of human rights in the Democratic People’s Republic of Korea</x:v>
      </x:c>
      <x:c r="E171" s="35" t="str">
        <x:v>Poland (on behalf of European Union), Australia</x:v>
      </x:c>
      <x:c r="F171" s="35" t="n">
        <x:v>45735.58472222222</x:v>
      </x:c>
      <x:c r="G171" s="35" t="str">
        <x:v>A/HRC/RES/58/17</x:v>
      </x:c>
      <x:c r="H171" s="35" t="str">
        <x:v>adopted</x:v>
      </x:c>
      <x:c r="I171" s="35" t="str">
        <x:v>Adopted without a vote</x:v>
      </x:c>
      <x:c r="J171" s="35" t="str">
        <x:v>https://hrcportal.ohchr.org/draft-resolutions?sessionID=18597&amp;page=0</x:v>
      </x:c>
    </x:row>
    <x:row r="172" ht="42" customHeight="1">
      <x:c r="A172" s="34" t="str">
        <x:v>58</x:v>
      </x:c>
      <x:c r="B172" s="34" t="str">
        <x:v>18597</x:v>
      </x:c>
      <x:c r="C172" s="34" t="str">
        <x:v>A/HRC/58/L.20</x:v>
      </x:c>
      <x:c r="D172" s="34" t="str">
        <x:v>OBSOLETE</x:v>
      </x:c>
      <x:c r="E172" s="34" t="str">
        <x:v>Iceland, Germany, North Macedonia, Republic of Moldova, United Kingdom of Great Britain and Northern Ireland</x:v>
      </x:c>
      <x:c r="F172" s="34" t="n">
        <x:v>45737.36388888889</x:v>
      </x:c>
      <x:c r="G172" s="34" t="str"/>
      <x:c r="H172" s="34" t="str">
        <x:v>obsolete/superseded</x:v>
      </x:c>
      <x:c r="I172" s="34" t="str"/>
      <x:c r="J172" s="34" t="str">
        <x:v>https://hrcportal.ohchr.org/draft-resolutions?sessionID=18597&amp;page=2</x:v>
      </x:c>
    </x:row>
    <x:row r="173" ht="42" customHeight="1">
      <x:c r="A173" s="35" t="str">
        <x:v>58</x:v>
      </x:c>
      <x:c r="B173" s="35" t="str">
        <x:v>18597</x:v>
      </x:c>
      <x:c r="C173" s="35" t="str">
        <x:v>A/HRC/58/L.20/Rev.1</x:v>
      </x:c>
      <x:c r="D173" s="35" t="str">
        <x:v>Situation of human rights in the Islamic Republic of Iran</x:v>
      </x:c>
      <x:c r="E173" s="35" t="str">
        <x:v>Iceland, Germany, North Macedonia, Republic of Moldova, United Kingdom of Great Britain and Northern Ireland</x:v>
      </x:c>
      <x:c r="F173" s="35" t="n">
        <x:v>45743.42569444444</x:v>
      </x:c>
      <x:c r="G173" s="35" t="str">
        <x:v>A/HRC/RES/58/21</x:v>
      </x:c>
      <x:c r="H173" s="35" t="str">
        <x:v>adopted</x:v>
      </x:c>
      <x:c r="I173" s="35" t="str">
        <x:v>Adopted by vote: 24-8-15</x:v>
      </x:c>
      <x:c r="J173" s="35" t="str">
        <x:v>https://hrcportal.ohchr.org/draft-resolutions?sessionID=18597&amp;page=2</x:v>
      </x:c>
    </x:row>
    <x:row r="174" ht="42" customHeight="1">
      <x:c r="A174" s="34" t="str">
        <x:v>58</x:v>
      </x:c>
      <x:c r="B174" s="34" t="str">
        <x:v>18597</x:v>
      </x:c>
      <x:c r="C174" s="34" t="str">
        <x:v>A/HRC/58/L.21</x:v>
      </x:c>
      <x:c r="D174" s="34" t="str">
        <x:v>The impact of anti-personnel mines on the full enjoyment of all human rights</x:v>
      </x:c>
      <x:c r="E174" s="34" t="str">
        <x:v>Algeria, Croatia, Mozambique, Peru, South Africa, United Kingdom of Great Britain and Northern Ireland, Vanuatu</x:v>
      </x:c>
      <x:c r="F174" s="34" t="n">
        <x:v>45737.40347222222</x:v>
      </x:c>
      <x:c r="G174" s="34" t="str">
        <x:v>A/HRC/RES/58/22</x:v>
      </x:c>
      <x:c r="H174" s="34" t="str">
        <x:v>adopted</x:v>
      </x:c>
      <x:c r="I174" s="34" t="str">
        <x:v>Adopted without a vote</x:v>
      </x:c>
      <x:c r="J174" s="34" t="str">
        <x:v>https://hrcportal.ohchr.org/draft-resolutions?sessionID=18597&amp;page=2</x:v>
      </x:c>
    </x:row>
    <x:row r="175" ht="42" customHeight="1">
      <x:c r="A175" s="35" t="str">
        <x:v>58</x:v>
      </x:c>
      <x:c r="B175" s="35" t="str">
        <x:v>18597</x:v>
      </x:c>
      <x:c r="C175" s="35" t="str">
        <x:v>A/HRC/58/L.22</x:v>
      </x:c>
      <x:c r="D175" s="35" t="str">
        <x:v>Situation of human rights in Ukraine stemming from the Russian aggression</x:v>
      </x:c>
      <x:c r="E175" s="35" t="str">
        <x:v>Ukraine</x:v>
      </x:c>
      <x:c r="F175" s="35" t="n">
        <x:v>45737.404861111114</x:v>
      </x:c>
      <x:c r="G175" s="35" t="str">
        <x:v>A/HRC/RES/58/24</x:v>
      </x:c>
      <x:c r="H175" s="35" t="str">
        <x:v>adopted</x:v>
      </x:c>
      <x:c r="I175" s="35" t="str">
        <x:v>Adopted by vote: 25-4-18</x:v>
      </x:c>
      <x:c r="J175" s="35" t="str">
        <x:v>https://hrcportal.ohchr.org/draft-resolutions?sessionID=18597&amp;page=2</x:v>
      </x:c>
    </x:row>
    <x:row r="176" ht="42" customHeight="1">
      <x:c r="A176" s="34" t="str">
        <x:v>58</x:v>
      </x:c>
      <x:c r="B176" s="34" t="str">
        <x:v>18597</x:v>
      </x:c>
      <x:c r="C176" s="34" t="str">
        <x:v>A/HRC/58/L.23</x:v>
      </x:c>
      <x:c r="D176" s="34" t="str">
        <x:v>Technical assistance and capacity-building for South Sudan</x:v>
      </x:c>
      <x:c r="E176" s="34" t="str">
        <x:v>Ghana (on behalf of Group of African States)</x:v>
      </x:c>
      <x:c r="F176" s="34" t="n">
        <x:v>45737.43125</x:v>
      </x:c>
      <x:c r="G176" s="34" t="str">
        <x:v>A/HRC/RES/58/31</x:v>
      </x:c>
      <x:c r="H176" s="34" t="str">
        <x:v>adopted</x:v>
      </x:c>
      <x:c r="I176" s="34" t="str">
        <x:v>Adopted without a vote</x:v>
      </x:c>
      <x:c r="J176" s="34" t="str">
        <x:v>https://hrcportal.ohchr.org/draft-resolutions?sessionID=18597&amp;page=2</x:v>
      </x:c>
    </x:row>
    <x:row r="177" ht="42" customHeight="1">
      <x:c r="A177" s="35" t="str">
        <x:v>58</x:v>
      </x:c>
      <x:c r="B177" s="35" t="str">
        <x:v>18597</x:v>
      </x:c>
      <x:c r="C177" s="35" t="str">
        <x:v>A/HRC/58/L.24</x:v>
      </x:c>
      <x:c r="D177" s="35" t="str">
        <x:v>OBSOLETE</x:v>
      </x:c>
      <x:c r="E177" s="35" t="str">
        <x:v>Argentina, Brazil, Gambia, Philippines, Slovenia</x:v>
      </x:c>
      <x:c r="F177" s="35" t="n">
        <x:v>45737.450694444444</x:v>
      </x:c>
      <x:c r="G177" s="35" t="str"/>
      <x:c r="H177" s="35" t="str">
        <x:v>obsolete/superseded</x:v>
      </x:c>
      <x:c r="I177" s="35" t="str"/>
      <x:c r="J177" s="35" t="str">
        <x:v>https://hrcportal.ohchr.org/draft-resolutions?sessionID=18597&amp;page=2</x:v>
      </x:c>
    </x:row>
    <x:row r="178" ht="42" customHeight="1">
      <x:c r="A178" s="34" t="str">
        <x:v>58</x:v>
      </x:c>
      <x:c r="B178" s="34" t="str">
        <x:v>18597</x:v>
      </x:c>
      <x:c r="C178" s="34" t="str">
        <x:v>A/HRC/58/L.24/Rev.1</x:v>
      </x:c>
      <x:c r="D178" s="34" t="str">
        <x:v>Open-ended intergovernmental working group for the elaboration of a legally binding instrument on the promotion and protection of the human rights of older persons</x:v>
      </x:c>
      <x:c r="E178" s="34" t="str">
        <x:v>Argentina, Brazil, Gambia, Philippines, Slovenia</x:v>
      </x:c>
      <x:c r="F178" s="34" t="n">
        <x:v>45743.5</x:v>
      </x:c>
      <x:c r="G178" s="34" t="str">
        <x:v>A/HRC/RES/58/13</x:v>
      </x:c>
      <x:c r="H178" s="34" t="str">
        <x:v>adopted</x:v>
      </x:c>
      <x:c r="I178" s="34" t="str">
        <x:v>Adopted without a vote</x:v>
      </x:c>
      <x:c r="J178" s="34" t="str">
        <x:v>https://hrcportal.ohchr.org/draft-resolutions?sessionID=18597&amp;page=2</x:v>
      </x:c>
    </x:row>
    <x:row r="179" ht="42" customHeight="1">
      <x:c r="A179" s="35" t="str">
        <x:v>58</x:v>
      </x:c>
      <x:c r="B179" s="35" t="str">
        <x:v>18597</x:v>
      </x:c>
      <x:c r="C179" s="35" t="str">
        <x:v>A/HRC/58/L.25</x:v>
      </x:c>
      <x:c r="D179" s="35" t="str">
        <x:v>Situation of human rights in the Syrian Arab Republic</x:v>
      </x:c>
      <x:c r="E179" s="35" t="str">
        <x:v>United Kingdom of Great Britain and Northern Ireland, Albania, Ireland, Norway, France, Germany, Netherlands (Kingdom of the), Qatar, Türkiye</x:v>
      </x:c>
      <x:c r="F179" s="35" t="n">
        <x:v>45737.478472222225</x:v>
      </x:c>
      <x:c r="G179" s="35" t="str">
        <x:v>A/HRC/RES/58/25</x:v>
      </x:c>
      <x:c r="H179" s="35" t="str">
        <x:v>adopted</x:v>
      </x:c>
      <x:c r="I179" s="35" t="str">
        <x:v>Adopted without a vote Oral Revision - A/HRC/58/L.25</x:v>
      </x:c>
      <x:c r="J179" s="35" t="str">
        <x:v>https://hrcportal.ohchr.org/draft-resolutions?sessionID=18597&amp;page=2</x:v>
      </x:c>
    </x:row>
    <x:row r="180" ht="42" customHeight="1">
      <x:c r="A180" s="34" t="str">
        <x:v>58</x:v>
      </x:c>
      <x:c r="B180" s="34" t="str">
        <x:v>18597</x:v>
      </x:c>
      <x:c r="C180" s="34" t="str">
        <x:v>A/HRC/58/L.26</x:v>
      </x:c>
      <x:c r="D180" s="34" t="str">
        <x:v>OBSOLETE</x:v>
      </x:c>
      <x:c r="E180" s="34" t="str">
        <x:v>Maldives, Costa Rica, Morocco, Slovenia, Switzerland</x:v>
      </x:c>
      <x:c r="F180" s="34" t="n">
        <x:v>45737.49930555555</x:v>
      </x:c>
      <x:c r="G180" s="34" t="str"/>
      <x:c r="H180" s="34" t="str">
        <x:v>obsolete/superseded</x:v>
      </x:c>
      <x:c r="I180" s="34" t="str"/>
      <x:c r="J180" s="34" t="str">
        <x:v>https://hrcportal.ohchr.org/draft-resolutions?sessionID=18597&amp;page=3</x:v>
      </x:c>
    </x:row>
    <x:row r="181" ht="42" customHeight="1">
      <x:c r="A181" s="35" t="str">
        <x:v>58</x:v>
      </x:c>
      <x:c r="B181" s="35" t="str">
        <x:v>18597</x:v>
      </x:c>
      <x:c r="C181" s="35" t="str">
        <x:v>A/HRC/58/L.26/Rev.1</x:v>
      </x:c>
      <x:c r="D181" s="35" t="str">
        <x:v>The human right to a clean, healthy and sustainable environment: the ocean and human rights</x:v>
      </x:c>
      <x:c r="E181" s="35" t="str">
        <x:v>Maldives, Costa Rica, Morocco, Slovenia</x:v>
      </x:c>
      <x:c r="F181" s="35" t="n">
        <x:v>45743.39861111111</x:v>
      </x:c>
      <x:c r="G181" s="35" t="str">
        <x:v>A/HRC/RES/58/16</x:v>
      </x:c>
      <x:c r="H181" s="35" t="str">
        <x:v>adopted</x:v>
      </x:c>
      <x:c r="I181" s="35" t="str">
        <x:v>Adopted without a vote</x:v>
      </x:c>
      <x:c r="J181" s="35" t="str">
        <x:v>https://hrcportal.ohchr.org/draft-resolutions?sessionID=18597&amp;page=3</x:v>
      </x:c>
    </x:row>
    <x:row r="182" ht="42" customHeight="1">
      <x:c r="A182" s="34" t="str">
        <x:v>58</x:v>
      </x:c>
      <x:c r="B182" s="34" t="str">
        <x:v>18597</x:v>
      </x:c>
      <x:c r="C182" s="34" t="str">
        <x:v>A/HRC/58/L.27</x:v>
      </x:c>
      <x:c r="D182" s="34" t="str">
        <x:v>OBSOLETE</x:v>
      </x:c>
      <x:c r="E182" s="34" t="str">
        <x:v>Norway</x:v>
      </x:c>
      <x:c r="F182" s="34" t="n">
        <x:v>45737.5</x:v>
      </x:c>
      <x:c r="G182" s="34" t="str"/>
      <x:c r="H182" s="34" t="str">
        <x:v>obsolete/superseded</x:v>
      </x:c>
      <x:c r="I182" s="34" t="str"/>
      <x:c r="J182" s="34" t="str">
        <x:v>https://hrcportal.ohchr.org/draft-resolutions?sessionID=18597&amp;page=3</x:v>
      </x:c>
    </x:row>
    <x:row r="183" ht="42" customHeight="1">
      <x:c r="A183" s="35" t="str">
        <x:v>58</x:v>
      </x:c>
      <x:c r="B183" s="35" t="str">
        <x:v>18597</x:v>
      </x:c>
      <x:c r="C183" s="35" t="str">
        <x:v>A/HRC/58/L.27/Rev.1</x:v>
      </x:c>
      <x:c r="D183" s="35" t="str">
        <x:v>Human rights defenders and new and emerging technologies: protecting human rights defenders, including women human rights defenders, in the digital age</x:v>
      </x:c>
      <x:c r="E183" s="35" t="str">
        <x:v>Norway</x:v>
      </x:c>
      <x:c r="F183" s="35" t="n">
        <x:v>45743.495833333334</x:v>
      </x:c>
      <x:c r="G183" s="35" t="str">
        <x:v>A/HRC/RES/58/23</x:v>
      </x:c>
      <x:c r="H183" s="35" t="str">
        <x:v>adopted</x:v>
      </x:c>
      <x:c r="I183" s="35" t="str">
        <x:v>Adopted without a vote Oral Revision - A/HRC/58/L.27/Rev.1</x:v>
      </x:c>
      <x:c r="J183" s="35" t="str">
        <x:v>https://hrcportal.ohchr.org/draft-resolutions?sessionID=18597&amp;page=3</x:v>
      </x:c>
    </x:row>
    <x:row r="184" ht="42" customHeight="1">
      <x:c r="A184" s="34" t="str">
        <x:v>58</x:v>
      </x:c>
      <x:c r="B184" s="34" t="str">
        <x:v>18597</x:v>
      </x:c>
      <x:c r="C184" s="34" t="str">
        <x:v>A/HRC/58/L.28</x:v>
      </x:c>
      <x:c r="D184" s="34" t="str">
        <x:v>Assistance technique et renforcement des capacités visant à améliorer la situation des droits de l’homme en Haïti, en lien avec la demande des autorités haïtiennes d’une action internationale coordonnée et ciblée</x:v>
      </x:c>
      <x:c r="E184" s="34" t="str">
        <x:v>Haiti</x:v>
      </x:c>
      <x:c r="F184" s="34" t="n">
        <x:v>45740.32638888889</x:v>
      </x:c>
      <x:c r="G184" s="34" t="str">
        <x:v>A/HRC/RES/58/32</x:v>
      </x:c>
      <x:c r="H184" s="34" t="str">
        <x:v>adopted</x:v>
      </x:c>
      <x:c r="I184" s="34" t="str">
        <x:v>Adopted without a vote</x:v>
      </x:c>
      <x:c r="J184" s="34" t="str">
        <x:v>https://hrcportal.ohchr.org/draft-resolutions?sessionID=18597&amp;page=3</x:v>
      </x:c>
    </x:row>
    <x:row r="185" ht="42" customHeight="1">
      <x:c r="A185" s="35" t="str">
        <x:v>58</x:v>
      </x:c>
      <x:c r="B185" s="35" t="str">
        <x:v>18597</x:v>
      </x:c>
      <x:c r="C185" s="35" t="str">
        <x:v>A/HRC/58/L.29</x:v>
      </x:c>
      <x:c r="D185" s="35" t="str">
        <x:v>Mandate of Special Rapporteur on the promotion and protection of human rights and fundamental freedoms while countering terrorism</x:v>
      </x:c>
      <x:c r="E185" s="35" t="str">
        <x:v>Mexico</x:v>
      </x:c>
      <x:c r="F185" s="35" t="n">
        <x:v>45740.4875</x:v>
      </x:c>
      <x:c r="G185" s="35" t="str">
        <x:v>A/HRC/RES/58/14</x:v>
      </x:c>
      <x:c r="H185" s="35" t="str">
        <x:v>adopted</x:v>
      </x:c>
      <x:c r="I185" s="35" t="str">
        <x:v>Adopted without a vote</x:v>
      </x:c>
      <x:c r="J185" s="35" t="str">
        <x:v>https://hrcportal.ohchr.org/draft-resolutions?sessionID=18597&amp;page=3</x:v>
      </x:c>
    </x:row>
    <x:row r="186" ht="42" customHeight="1">
      <x:c r="A186" s="34" t="str">
        <x:v>58</x:v>
      </x:c>
      <x:c r="B186" s="34" t="str">
        <x:v>18597</x:v>
      </x:c>
      <x:c r="C186" s="34" t="str">
        <x:v>A/HRC/58/L.3</x:v>
      </x:c>
      <x:c r="D186" s="34" t="str">
        <x:v>Promotion and protection of human rights in Nicaragua</x:v>
      </x:c>
      <x:c r="E186" s="34" t="str">
        <x:v>Costa Rica Argentina, Brazil, Canada, Chile, Colombia, Ecuador, Paraguay, Peru​</x:v>
      </x:c>
      <x:c r="F186" s="34" t="n">
        <x:v>45735.61111111111</x:v>
      </x:c>
      <x:c r="G186" s="34" t="str">
        <x:v>A/HRC/RES/58/18</x:v>
      </x:c>
      <x:c r="H186" s="34" t="str">
        <x:v>adopted</x:v>
      </x:c>
      <x:c r="I186" s="34" t="str">
        <x:v>Adopted by vote: 29-4-14</x:v>
      </x:c>
      <x:c r="J186" s="34" t="str">
        <x:v>https://hrcportal.ohchr.org/draft-resolutions?sessionID=18597&amp;page=0</x:v>
      </x:c>
    </x:row>
    <x:row r="187" ht="42" customHeight="1">
      <x:c r="A187" s="35" t="str">
        <x:v>58</x:v>
      </x:c>
      <x:c r="B187" s="35" t="str">
        <x:v>18597</x:v>
      </x:c>
      <x:c r="C187" s="35" t="str">
        <x:v>A/HRC/58/L.30</x:v>
      </x:c>
      <x:c r="D187" s="35" t="str">
        <x:v>OBSOLETE</x:v>
      </x:c>
      <x:c r="E187" s="35" t="str">
        <x:v>Pakistan (on behalf of the Organization of Islamic Cooperation, except Albania)</x:v>
      </x:c>
      <x:c r="F187" s="35" t="n">
        <x:v>45740.49791666667</x:v>
      </x:c>
      <x:c r="G187" s="35" t="str"/>
      <x:c r="H187" s="35" t="str">
        <x:v>obsolete/superseded</x:v>
      </x:c>
      <x:c r="I187" s="35" t="str"/>
      <x:c r="J187" s="35" t="str">
        <x:v>https://hrcportal.ohchr.org/draft-resolutions?sessionID=18597&amp;page=3</x:v>
      </x:c>
    </x:row>
    <x:row r="188" ht="42" customHeight="1">
      <x:c r="A188" s="34" t="str">
        <x:v>58</x:v>
      </x:c>
      <x:c r="B188" s="34" t="str">
        <x:v>18597</x:v>
      </x:c>
      <x:c r="C188" s="34" t="str">
        <x:v>A/HRC/58/L.30/Rev.1</x:v>
      </x:c>
      <x:c r="D188" s="34" t="str">
        <x:v>Human rights situation in the Occupied Palestinian Territory, including East Jerusalem, and the obligation to ensure accountability and justice</x:v>
      </x:c>
      <x:c r="E188" s="34" t="str">
        <x:v>Pakistan (on behalf of the Organization of Islamic Cooperation, except Albania)</x:v>
      </x:c>
      <x:c r="F188" s="34" t="n">
        <x:v>45743.47152777778</x:v>
      </x:c>
      <x:c r="G188" s="34" t="str">
        <x:v>A/HRC/RES/58/2</x:v>
      </x:c>
      <x:c r="H188" s="34" t="str">
        <x:v>adopted</x:v>
      </x:c>
      <x:c r="I188" s="34" t="str">
        <x:v>Adopted by vote: 27-4-16 Oral Revision - A/HRC/58/L.30/Rev.1</x:v>
      </x:c>
      <x:c r="J188" s="34" t="str">
        <x:v>https://hrcportal.ohchr.org/draft-resolutions?sessionID=18597&amp;page=3</x:v>
      </x:c>
    </x:row>
    <x:row r="189" ht="42" customHeight="1">
      <x:c r="A189" s="35" t="str">
        <x:v>58</x:v>
      </x:c>
      <x:c r="B189" s="35" t="str">
        <x:v>18597</x:v>
      </x:c>
      <x:c r="C189" s="35" t="str">
        <x:v>A/HRC/58/L.31</x:v>
      </x:c>
      <x:c r="D189" s="35" t="str">
        <x:v>Right of the Palestinian people to self-determination</x:v>
      </x:c>
      <x:c r="E189" s="35" t="str">
        <x:v>Pakistan (on behalf of the Organization of Islamic Cooperation, except Albania)</x:v>
      </x:c>
      <x:c r="F189" s="35" t="n">
        <x:v>45740.498611111114</x:v>
      </x:c>
      <x:c r="G189" s="35" t="str">
        <x:v>A/HRC/RES/58/27</x:v>
      </x:c>
      <x:c r="H189" s="35" t="str">
        <x:v>adopted</x:v>
      </x:c>
      <x:c r="I189" s="35" t="str">
        <x:v>Adopted by vote: 43-2-2</x:v>
      </x:c>
      <x:c r="J189" s="35" t="str">
        <x:v>https://hrcportal.ohchr.org/draft-resolutions?sessionID=18597&amp;page=3</x:v>
      </x:c>
    </x:row>
    <x:row r="190" ht="42" customHeight="1">
      <x:c r="A190" s="34" t="str">
        <x:v>58</x:v>
      </x:c>
      <x:c r="B190" s="34" t="str">
        <x:v>18597</x:v>
      </x:c>
      <x:c r="C190" s="34" t="str">
        <x:v>A/HRC/58/L.32</x:v>
      </x:c>
      <x:c r="D190" s="34" t="str">
        <x:v>OBSOLETE</x:v>
      </x:c>
      <x:c r="E190" s="34" t="str">
        <x:v>Pakistan (on behalf of the Organization of Islamic Cooperation, except Albania)</x:v>
      </x:c>
      <x:c r="F190" s="34" t="n">
        <x:v>45740.49930555555</x:v>
      </x:c>
      <x:c r="G190" s="34" t="str"/>
      <x:c r="H190" s="34" t="str">
        <x:v>obsolete/superseded</x:v>
      </x:c>
      <x:c r="I190" s="34" t="str"/>
      <x:c r="J190" s="34" t="str">
        <x:v>https://hrcportal.ohchr.org/draft-resolutions?sessionID=18597&amp;page=3</x:v>
      </x:c>
    </x:row>
    <x:row r="191" ht="42" customHeight="1">
      <x:c r="A191" s="35" t="str">
        <x:v>58</x:v>
      </x:c>
      <x:c r="B191" s="35" t="str">
        <x:v>18597</x:v>
      </x:c>
      <x:c r="C191" s="35" t="str">
        <x:v>A/HRC/58/L.32/Rev.1</x:v>
      </x:c>
      <x:c r="D191" s="35" t="str">
        <x:v>Israeli settlements in the Occupied Palestinian Territory, including East Jerusalem, and in the occupied Syrian Golan</x:v>
      </x:c>
      <x:c r="E191" s="35" t="str">
        <x:v>Pakistan (on behalf of the Organization of Islamic Cooperation, except Albania)</x:v>
      </x:c>
      <x:c r="F191" s="35" t="n">
        <x:v>45743.47222222222</x:v>
      </x:c>
      <x:c r="G191" s="35" t="str">
        <x:v>A/HRC/RES/58/28</x:v>
      </x:c>
      <x:c r="H191" s="35" t="str">
        <x:v>adopted</x:v>
      </x:c>
      <x:c r="I191" s="35" t="str">
        <x:v>Adopted by vote: 34-3-10 Oral Revision - A/HRC/58/L.32/Rev.1</x:v>
      </x:c>
      <x:c r="J191" s="35" t="str">
        <x:v>https://hrcportal.ohchr.org/draft-resolutions?sessionID=18597&amp;page=4</x:v>
      </x:c>
    </x:row>
    <x:row r="192" ht="42" customHeight="1">
      <x:c r="A192" s="34" t="str">
        <x:v>58</x:v>
      </x:c>
      <x:c r="B192" s="34" t="str">
        <x:v>18597</x:v>
      </x:c>
      <x:c r="C192" s="34" t="str">
        <x:v>A/HRC/58/L.33</x:v>
      </x:c>
      <x:c r="D192" s="34" t="str">
        <x:v>Amendment to draft resolution A/HRC/58/L.7</x:v>
      </x:c>
      <x:c r="E192" s="34" t="str">
        <x:v>Russian Federation, Belarus, Democratic People's Republic of Korea, Eritrea, Iran (Islamic Republic of), Venezuela (Bolivarian Republic of), Zimbabwe</x:v>
      </x:c>
      <x:c r="F192" s="34" t="n">
        <x:v>45742.72152777778</x:v>
      </x:c>
      <x:c r="G192" s="34" t="str"/>
      <x:c r="H192" s="34" t="str">
        <x:v>tabled; no final resolution shown</x:v>
      </x:c>
      <x:c r="I192" s="34" t="str">
        <x:v>Rejected by vote: 9-24-13</x:v>
      </x:c>
      <x:c r="J192" s="34" t="str">
        <x:v>https://hrcportal.ohchr.org/draft-resolutions?sessionID=18597&amp;page=4</x:v>
      </x:c>
    </x:row>
    <x:row r="193" ht="42" customHeight="1">
      <x:c r="A193" s="35" t="str">
        <x:v>58</x:v>
      </x:c>
      <x:c r="B193" s="35" t="str">
        <x:v>18597</x:v>
      </x:c>
      <x:c r="C193" s="35" t="str">
        <x:v>A/HRC/58/L.34</x:v>
      </x:c>
      <x:c r="D193" s="35" t="str">
        <x:v>Amendment 1 to draft resolution A/HRC/58/L.27/Rev.1</x:v>
      </x:c>
      <x:c r="E193" s="35" t="str">
        <x:v>Russian Federation</x:v>
      </x:c>
      <x:c r="F193" s="35" t="n">
        <x:v>45743.5375</x:v>
      </x:c>
      <x:c r="G193" s="35" t="str"/>
      <x:c r="H193" s="35" t="str">
        <x:v>tabled; no final resolution shown</x:v>
      </x:c>
      <x:c r="I193" s="35" t="str">
        <x:v>Withdrawn</x:v>
      </x:c>
      <x:c r="J193" s="35" t="str">
        <x:v>https://hrcportal.ohchr.org/draft-resolutions?sessionID=18597&amp;page=4</x:v>
      </x:c>
    </x:row>
    <x:row r="194" ht="42" customHeight="1">
      <x:c r="A194" s="34" t="str">
        <x:v>58</x:v>
      </x:c>
      <x:c r="B194" s="34" t="str">
        <x:v>18597</x:v>
      </x:c>
      <x:c r="C194" s="34" t="str">
        <x:v>A/HRC/58/L.35</x:v>
      </x:c>
      <x:c r="D194" s="34" t="str">
        <x:v>Amendment 2 to draft resolution A/HRC/58/L.27/Rev.1</x:v>
      </x:c>
      <x:c r="E194" s="34" t="str">
        <x:v>Russian Federation</x:v>
      </x:c>
      <x:c r="F194" s="34" t="n">
        <x:v>45743.538194444445</x:v>
      </x:c>
      <x:c r="G194" s="34" t="str"/>
      <x:c r="H194" s="34" t="str">
        <x:v>tabled; no final resolution shown</x:v>
      </x:c>
      <x:c r="I194" s="34" t="str">
        <x:v>Rejected by vote: 4-26-15</x:v>
      </x:c>
      <x:c r="J194" s="34" t="str">
        <x:v>https://hrcportal.ohchr.org/draft-resolutions?sessionID=18597&amp;page=4</x:v>
      </x:c>
    </x:row>
    <x:row r="195" ht="42" customHeight="1">
      <x:c r="A195" s="35" t="str">
        <x:v>58</x:v>
      </x:c>
      <x:c r="B195" s="35" t="str">
        <x:v>18597</x:v>
      </x:c>
      <x:c r="C195" s="35" t="str">
        <x:v>A/HRC/58/L.36</x:v>
      </x:c>
      <x:c r="D195" s="35" t="str">
        <x:v>Amendment 3 to draft resolution A/HRC/58/L.27/Rev.1</x:v>
      </x:c>
      <x:c r="E195" s="35" t="str">
        <x:v>Russian Federation</x:v>
      </x:c>
      <x:c r="F195" s="35" t="n">
        <x:v>45743.53888888889</x:v>
      </x:c>
      <x:c r="G195" s="35" t="str"/>
      <x:c r="H195" s="35" t="str">
        <x:v>tabled; no final resolution shown</x:v>
      </x:c>
      <x:c r="I195" s="35" t="str">
        <x:v>Rejected by vote: 10-23-14</x:v>
      </x:c>
      <x:c r="J195" s="35" t="str">
        <x:v>https://hrcportal.ohchr.org/draft-resolutions?sessionID=18597&amp;page=4</x:v>
      </x:c>
    </x:row>
    <x:row r="196" ht="42" customHeight="1">
      <x:c r="A196" s="34" t="str">
        <x:v>58</x:v>
      </x:c>
      <x:c r="B196" s="34" t="str">
        <x:v>18597</x:v>
      </x:c>
      <x:c r="C196" s="34" t="str">
        <x:v>A/HRC/58/L.37</x:v>
      </x:c>
      <x:c r="D196" s="34" t="str">
        <x:v>Amendment 4 to draft resolution A/HRC/58/L.27/Rev.1</x:v>
      </x:c>
      <x:c r="E196" s="34" t="str">
        <x:v>Russian Federation</x:v>
      </x:c>
      <x:c r="F196" s="34" t="n">
        <x:v>45743.53958333333</x:v>
      </x:c>
      <x:c r="G196" s="34" t="str"/>
      <x:c r="H196" s="34" t="str">
        <x:v>tabled; no final resolution shown</x:v>
      </x:c>
      <x:c r="I196" s="34" t="str">
        <x:v>Rejected by vote: 7-26-15</x:v>
      </x:c>
      <x:c r="J196" s="34" t="str">
        <x:v>https://hrcportal.ohchr.org/draft-resolutions?sessionID=18597&amp;page=4</x:v>
      </x:c>
    </x:row>
    <x:row r="197" ht="42" customHeight="1">
      <x:c r="A197" s="35" t="str">
        <x:v>58</x:v>
      </x:c>
      <x:c r="B197" s="35" t="str">
        <x:v>18597</x:v>
      </x:c>
      <x:c r="C197" s="35" t="str">
        <x:v>A/HRC/58/L.4</x:v>
      </x:c>
      <x:c r="D197" s="35" t="str">
        <x:v>OBSOLETE</x:v>
      </x:c>
      <x:c r="E197" s="35" t="str">
        <x:v>Cyprus, Ethiopia, Greece, Iraq, Ireland, Italy, Mali, Poland, Serbia</x:v>
      </x:c>
      <x:c r="F197" s="35" t="n">
        <x:v>45735.729166666664</x:v>
      </x:c>
      <x:c r="G197" s="35" t="str"/>
      <x:c r="H197" s="35" t="str">
        <x:v>obsolete/superseded</x:v>
      </x:c>
      <x:c r="I197" s="35" t="str"/>
      <x:c r="J197" s="35" t="str">
        <x:v>https://hrcportal.ohchr.org/draft-resolutions?sessionID=18597&amp;page=0</x:v>
      </x:c>
    </x:row>
    <x:row r="198" ht="42" customHeight="1">
      <x:c r="A198" s="34" t="str">
        <x:v>58</x:v>
      </x:c>
      <x:c r="B198" s="34" t="str">
        <x:v>18597</x:v>
      </x:c>
      <x:c r="C198" s="34" t="str">
        <x:v>A/HRC/58/L.4/Rev.1</x:v>
      </x:c>
      <x:c r="D198" s="34" t="str">
        <x:v>Cultural rights and the protection of cultural heritage</x:v>
      </x:c>
      <x:c r="E198" s="34" t="str">
        <x:v>Cyprus, Ethiopia, Greece, Iraq, Ireland, Italy, Mali, Poland, Serbia</x:v>
      </x:c>
      <x:c r="F198" s="34" t="n">
        <x:v>45743.39791666667</x:v>
      </x:c>
      <x:c r="G198" s="34" t="str">
        <x:v>A/HRC/RES/58/4</x:v>
      </x:c>
      <x:c r="H198" s="34" t="str">
        <x:v>adopted</x:v>
      </x:c>
      <x:c r="I198" s="34" t="str">
        <x:v>Adopted without a vote</x:v>
      </x:c>
      <x:c r="J198" s="34" t="str">
        <x:v>https://hrcportal.ohchr.org/draft-resolutions?sessionID=18597&amp;page=0</x:v>
      </x:c>
    </x:row>
    <x:row r="199" ht="42" customHeight="1">
      <x:c r="A199" s="35" t="str">
        <x:v>58</x:v>
      </x:c>
      <x:c r="B199" s="35" t="str">
        <x:v>18597</x:v>
      </x:c>
      <x:c r="C199" s="35" t="str">
        <x:v>A/HRC/58/L.5</x:v>
      </x:c>
      <x:c r="D199" s="35" t="str">
        <x:v>Freedom of religion or belief</x:v>
      </x:c>
      <x:c r="E199" s="35" t="str">
        <x:v>Poland (on behalf of European Union)</x:v>
      </x:c>
      <x:c r="F199" s="35" t="n">
        <x:v>45736.33263888889</x:v>
      </x:c>
      <x:c r="G199" s="35" t="str">
        <x:v>A/HRC/RES/58/5</x:v>
      </x:c>
      <x:c r="H199" s="35" t="str">
        <x:v>adopted</x:v>
      </x:c>
      <x:c r="I199" s="35" t="str">
        <x:v>Adopted without a vote</x:v>
      </x:c>
      <x:c r="J199" s="35" t="str">
        <x:v>https://hrcportal.ohchr.org/draft-resolutions?sessionID=18597&amp;page=0</x:v>
      </x:c>
    </x:row>
    <x:row r="200" ht="42" customHeight="1">
      <x:c r="A200" s="34" t="str">
        <x:v>58</x:v>
      </x:c>
      <x:c r="B200" s="34" t="str">
        <x:v>18597</x:v>
      </x:c>
      <x:c r="C200" s="34" t="str">
        <x:v>A/HRC/58/L.6</x:v>
      </x:c>
      <x:c r="D200" s="34" t="str">
        <x:v>​​​​​​​Advancing human rights in South Sudan</x:v>
      </x:c>
      <x:c r="E200" s="34" t="str">
        <x:v>United Kingdom of Great Britain and Northern Ireland, Albania, Ireland, Norway</x:v>
      </x:c>
      <x:c r="F200" s="34" t="n">
        <x:v>45736.345138888886</x:v>
      </x:c>
      <x:c r="G200" s="34" t="str">
        <x:v>A/HRC/RES/58/1</x:v>
      </x:c>
      <x:c r="H200" s="34" t="str">
        <x:v>adopted</x:v>
      </x:c>
      <x:c r="I200" s="34" t="str">
        <x:v>Adopted by vote: 24-6-17</x:v>
      </x:c>
      <x:c r="J200" s="34" t="str">
        <x:v>https://hrcportal.ohchr.org/draft-resolutions?sessionID=18597&amp;page=0</x:v>
      </x:c>
    </x:row>
    <x:row r="201" ht="42" customHeight="1">
      <x:c r="A201" s="35" t="str">
        <x:v>58</x:v>
      </x:c>
      <x:c r="B201" s="35" t="str">
        <x:v>18597</x:v>
      </x:c>
      <x:c r="C201" s="35" t="str">
        <x:v>A/HRC/58/L.7</x:v>
      </x:c>
      <x:c r="D201" s="35" t="str">
        <x:v>Question of the realization in all countries of economic, social and cultural rights</x:v>
      </x:c>
      <x:c r="E201" s="35" t="str">
        <x:v>Portugal</x:v>
      </x:c>
      <x:c r="F201" s="35" t="n">
        <x:v>45736.44583333333</x:v>
      </x:c>
      <x:c r="G201" s="35" t="str">
        <x:v>A/HRC/RES/58/9</x:v>
      </x:c>
      <x:c r="H201" s="35" t="str">
        <x:v>adopted</x:v>
      </x:c>
      <x:c r="I201" s="35" t="str">
        <x:v>Adopted without a vote</x:v>
      </x:c>
      <x:c r="J201" s="35" t="str">
        <x:v>https://hrcportal.ohchr.org/draft-resolutions?sessionID=18597&amp;page=0</x:v>
      </x:c>
    </x:row>
    <x:row r="202" ht="42" customHeight="1">
      <x:c r="A202" s="34" t="str">
        <x:v>58</x:v>
      </x:c>
      <x:c r="B202" s="34" t="str">
        <x:v>18597</x:v>
      </x:c>
      <x:c r="C202" s="34" t="str">
        <x:v>A/HRC/58/L.8</x:v>
      </x:c>
      <x:c r="D202" s="34" t="str">
        <x:v>Assistance technique et renforcement des capacités dans le domaine des droits de l’homme au Mali</x:v>
      </x:c>
      <x:c r="E202" s="34" t="str">
        <x:v>Ghana (on behalf of Group of African States)</x:v>
      </x:c>
      <x:c r="F202" s="34" t="n">
        <x:v>45736.501388888886</x:v>
      </x:c>
      <x:c r="G202" s="34" t="str">
        <x:v>A/HRC/RES/58/30</x:v>
      </x:c>
      <x:c r="H202" s="34" t="str">
        <x:v>adopted</x:v>
      </x:c>
      <x:c r="I202" s="34" t="str">
        <x:v>Adopted without a vote</x:v>
      </x:c>
      <x:c r="J202" s="34" t="str">
        <x:v>https://hrcportal.ohchr.org/draft-resolutions?sessionID=18597&amp;page=0</x:v>
      </x:c>
    </x:row>
    <x:row r="203" ht="42" customHeight="1">
      <x:c r="A203" s="35" t="str">
        <x:v>58</x:v>
      </x:c>
      <x:c r="B203" s="35" t="str">
        <x:v>18597</x:v>
      </x:c>
      <x:c r="C203" s="35" t="str">
        <x:v>A/HRC/58/L.9</x:v>
      </x:c>
      <x:c r="D203" s="35" t="str">
        <x:v>Neurotechnology and human rights</x:v>
      </x:c>
      <x:c r="E203" s="35" t="str">
        <x:v>Greece, Chile, Singapore, Switzerland</x:v>
      </x:c>
      <x:c r="F203" s="35" t="n">
        <x:v>45736.53888888889</x:v>
      </x:c>
      <x:c r="G203" s="35" t="str">
        <x:v>A/HRC/RES/58/6</x:v>
      </x:c>
      <x:c r="H203" s="35" t="str">
        <x:v>adopted</x:v>
      </x:c>
      <x:c r="I203" s="35" t="str">
        <x:v>Adopted without a vote</x:v>
      </x:c>
      <x:c r="J203" s="35" t="str">
        <x:v>https://hrcportal.ohchr.org/draft-resolutions?sessionID=18597&amp;page=0</x:v>
      </x:c>
    </x:row>
    <x:row r="204" ht="42" customHeight="1">
      <x:c r="A204" s="34" t="str">
        <x:v>59</x:v>
      </x:c>
      <x:c r="B204" s="34" t="str">
        <x:v>18502</x:v>
      </x:c>
      <x:c r="C204" s="34" t="str">
        <x:v>A/HRC/59/L.1/Rev.1</x:v>
      </x:c>
      <x:c r="D204" s="34" t="str">
        <x:v>Discontinuation of the mandate of Special Rapporteur on the situation of human rights in Eritrea</x:v>
      </x:c>
      <x:c r="E204" s="34" t="str">
        <x:v>Eritrea</x:v>
      </x:c>
      <x:c r="F204" s="34" t="n">
        <x:v>45840.365277777775</x:v>
      </x:c>
      <x:c r="G204" s="34" t="str"/>
      <x:c r="H204" s="34" t="str">
        <x:v>tabled; no final resolution shown</x:v>
      </x:c>
      <x:c r="I204" s="34" t="str">
        <x:v>Rejected by a recorded vote - 4-25-18</x:v>
      </x:c>
      <x:c r="J204" s="34" t="str">
        <x:v>https://hrcportal.ohchr.org/draft-resolutions?sessionID=18502&amp;page=0</x:v>
      </x:c>
    </x:row>
    <x:row r="205" ht="42" customHeight="1">
      <x:c r="A205" s="35" t="str">
        <x:v>59</x:v>
      </x:c>
      <x:c r="B205" s="35" t="str">
        <x:v>18502</x:v>
      </x:c>
      <x:c r="C205" s="35" t="str">
        <x:v>A/HRC/59/L.10</x:v>
      </x:c>
      <x:c r="D205" s="35" t="str">
        <x:v>The Social Forum</x:v>
      </x:c>
      <x:c r="E205" s="35" t="str">
        <x:v>Cuba</x:v>
      </x:c>
      <x:c r="F205" s="35" t="n">
        <x:v>45834.71875</x:v>
      </x:c>
      <x:c r="G205" s="35" t="str">
        <x:v>A/HRC/RES/59/21</x:v>
      </x:c>
      <x:c r="H205" s="35" t="str">
        <x:v>adopted</x:v>
      </x:c>
      <x:c r="I205" s="35" t="str">
        <x:v>Adopted without a vote</x:v>
      </x:c>
      <x:c r="J205" s="35" t="str">
        <x:v>https://hrcportal.ohchr.org/draft-resolutions?sessionID=18502&amp;page=1</x:v>
      </x:c>
    </x:row>
    <x:row r="206" ht="42" customHeight="1">
      <x:c r="A206" s="34" t="str">
        <x:v>59</x:v>
      </x:c>
      <x:c r="B206" s="34" t="str">
        <x:v>18502</x:v>
      </x:c>
      <x:c r="C206" s="34" t="str">
        <x:v>A/HRC/59/L.11</x:v>
      </x:c>
      <x:c r="D206" s="34" t="str">
        <x:v>The right to education</x:v>
      </x:c>
      <x:c r="E206" s="34" t="str">
        <x:v>Portugal</x:v>
      </x:c>
      <x:c r="F206" s="34" t="n">
        <x:v>45834.885416666664</x:v>
      </x:c>
      <x:c r="G206" s="34" t="str">
        <x:v>A/HRC/RES/59/9</x:v>
      </x:c>
      <x:c r="H206" s="34" t="str">
        <x:v>adopted</x:v>
      </x:c>
      <x:c r="I206" s="34" t="str">
        <x:v>Adopted without a vote</x:v>
      </x:c>
      <x:c r="J206" s="34" t="str">
        <x:v>https://hrcportal.ohchr.org/draft-resolutions?sessionID=18502&amp;page=1</x:v>
      </x:c>
    </x:row>
    <x:row r="207" ht="42" customHeight="1">
      <x:c r="A207" s="35" t="str">
        <x:v>59</x:v>
      </x:c>
      <x:c r="B207" s="35" t="str">
        <x:v>18502</x:v>
      </x:c>
      <x:c r="C207" s="35" t="str">
        <x:v>A/HRC/59/L.12</x:v>
      </x:c>
      <x:c r="D207" s="35" t="str">
        <x:v>The contribution of development to the enjoyment of all human rights</x:v>
      </x:c>
      <x:c r="E207" s="35" t="str">
        <x:v>China, Cameroon, Pakistan</x:v>
      </x:c>
      <x:c r="F207" s="35" t="n">
        <x:v>45835.30972222222</x:v>
      </x:c>
      <x:c r="G207" s="35" t="str">
        <x:v>A/HRC/RES/59/19</x:v>
      </x:c>
      <x:c r="H207" s="35" t="str">
        <x:v>adopted</x:v>
      </x:c>
      <x:c r="I207" s="35" t="str">
        <x:v>Adopted as orally revised without a vote Oral Revision - A/HRC/59/L.12</x:v>
      </x:c>
      <x:c r="J207" s="35" t="str">
        <x:v>https://hrcportal.ohchr.org/draft-resolutions?sessionID=18502&amp;page=1</x:v>
      </x:c>
    </x:row>
    <x:row r="208" ht="42" customHeight="1">
      <x:c r="A208" s="34" t="str">
        <x:v>59</x:v>
      </x:c>
      <x:c r="B208" s="34" t="str">
        <x:v>18502</x:v>
      </x:c>
      <x:c r="C208" s="34" t="str">
        <x:v>A/HRC/59/L.13</x:v>
      </x:c>
      <x:c r="D208" s="34" t="str">
        <x:v>Civil society space</x:v>
      </x:c>
      <x:c r="E208" s="34" t="str">
        <x:v>Ireland, Chile, Japan, Sierra Leone, Tunisia</x:v>
      </x:c>
      <x:c r="F208" s="34" t="n">
        <x:v>45835.32847222222</x:v>
      </x:c>
      <x:c r="G208" s="34" t="str">
        <x:v>A/HRC/RES/59/10</x:v>
      </x:c>
      <x:c r="H208" s="34" t="str">
        <x:v>adopted</x:v>
      </x:c>
      <x:c r="I208" s="34" t="str">
        <x:v>Adopted without a vote</x:v>
      </x:c>
      <x:c r="J208" s="34" t="str">
        <x:v>https://hrcportal.ohchr.org/draft-resolutions?sessionID=18502&amp;page=1</x:v>
      </x:c>
    </x:row>
    <x:row r="209" ht="42" customHeight="1">
      <x:c r="A209" s="35" t="str">
        <x:v>59</x:v>
      </x:c>
      <x:c r="B209" s="35" t="str">
        <x:v>18502</x:v>
      </x:c>
      <x:c r="C209" s="35" t="str">
        <x:v>A/HRC/59/L.14</x:v>
      </x:c>
      <x:c r="D209" s="35" t="str">
        <x:v>New and emerging digital technologies and human rights</x:v>
      </x:c>
      <x:c r="E209" s="35" t="str">
        <x:v>Republic of Korea, Austria, Brazil, Denmark, Morocco, Singapore</x:v>
      </x:c>
      <x:c r="F209" s="35" t="n">
        <x:v>45835.353472222225</x:v>
      </x:c>
      <x:c r="G209" s="35" t="str">
        <x:v>A/HRC/RES/59/11</x:v>
      </x:c>
      <x:c r="H209" s="35" t="str">
        <x:v>adopted</x:v>
      </x:c>
      <x:c r="I209" s="35" t="str">
        <x:v>Adopted without a vote</x:v>
      </x:c>
      <x:c r="J209" s="35" t="str">
        <x:v>https://hrcportal.ohchr.org/draft-resolutions?sessionID=18502&amp;page=1</x:v>
      </x:c>
    </x:row>
    <x:row r="210" ht="42" customHeight="1">
      <x:c r="A210" s="34" t="str">
        <x:v>59</x:v>
      </x:c>
      <x:c r="B210" s="34" t="str">
        <x:v>18502</x:v>
      </x:c>
      <x:c r="C210" s="34" t="str">
        <x:v>A/HRC/59/L.15</x:v>
      </x:c>
      <x:c r="D210" s="34" t="str">
        <x:v>Mandate of Special Rapporteur on the human rights of internally displaced persons</x:v>
      </x:c>
      <x:c r="E210" s="34" t="str">
        <x:v>Austria, Honduras, Uganda</x:v>
      </x:c>
      <x:c r="F210" s="34" t="n">
        <x:v>45835.35902777778</x:v>
      </x:c>
      <x:c r="G210" s="34" t="str">
        <x:v>A/HRC/RES/59/12</x:v>
      </x:c>
      <x:c r="H210" s="34" t="str">
        <x:v>adopted</x:v>
      </x:c>
      <x:c r="I210" s="34" t="str">
        <x:v>Adopted without a vote</x:v>
      </x:c>
      <x:c r="J210" s="34" t="str">
        <x:v>https://hrcportal.ohchr.org/draft-resolutions?sessionID=18502&amp;page=1</x:v>
      </x:c>
    </x:row>
    <x:row r="211" ht="42" customHeight="1">
      <x:c r="A211" s="35" t="str">
        <x:v>59</x:v>
      </x:c>
      <x:c r="B211" s="35" t="str">
        <x:v>18502</x:v>
      </x:c>
      <x:c r="C211" s="35" t="str">
        <x:v>A/HRC/59/L.16</x:v>
      </x:c>
      <x:c r="D211" s="35" t="str">
        <x:v>Impact of arms transfers on human rights</x:v>
      </x:c>
      <x:c r="E211" s="35" t="str">
        <x:v>Ecuador, Peru</x:v>
      </x:c>
      <x:c r="F211" s="35" t="n">
        <x:v>45835.36736111111</x:v>
      </x:c>
      <x:c r="G211" s="35" t="str">
        <x:v>A/HRC/RES/59/13</x:v>
      </x:c>
      <x:c r="H211" s="35" t="str">
        <x:v>adopted</x:v>
      </x:c>
      <x:c r="I211" s="35" t="str">
        <x:v>Adopted without a vote</x:v>
      </x:c>
      <x:c r="J211" s="35" t="str">
        <x:v>https://hrcportal.ohchr.org/draft-resolutions?sessionID=18502&amp;page=1</x:v>
      </x:c>
    </x:row>
    <x:row r="212" ht="42" customHeight="1">
      <x:c r="A212" s="34" t="str">
        <x:v>59</x:v>
      </x:c>
      <x:c r="B212" s="34" t="str">
        <x:v>18502</x:v>
      </x:c>
      <x:c r="C212" s="34" t="str">
        <x:v>A/HRC/59/L.17</x:v>
      </x:c>
      <x:c r="D212" s="34" t="str">
        <x:v>Human rights and climate change</x:v>
      </x:c>
      <x:c r="E212" s="34" t="str">
        <x:v>Bangladesh, Philippines, Viet Nam</x:v>
      </x:c>
      <x:c r="F212" s="34" t="n">
        <x:v>45835.38402777778</x:v>
      </x:c>
      <x:c r="G212" s="34" t="str">
        <x:v>A/HRC/RES/59/25</x:v>
      </x:c>
      <x:c r="H212" s="34" t="str">
        <x:v>adopted</x:v>
      </x:c>
      <x:c r="I212" s="34" t="str">
        <x:v>Adopted as orally revised without a vote Oral Revision - A/HRC/59/L.17</x:v>
      </x:c>
      <x:c r="J212" s="34" t="str">
        <x:v>https://hrcportal.ohchr.org/draft-resolutions?sessionID=18502&amp;page=1</x:v>
      </x:c>
    </x:row>
    <x:row r="213" ht="42" customHeight="1">
      <x:c r="A213" s="35" t="str">
        <x:v>59</x:v>
      </x:c>
      <x:c r="B213" s="35" t="str">
        <x:v>18502</x:v>
      </x:c>
      <x:c r="C213" s="35" t="str">
        <x:v>A/HRC/59/L.18</x:v>
      </x:c>
      <x:c r="D213" s="35" t="str">
        <x:v>OBSOLETE</x:v>
      </x:c>
      <x:c r="E213" s="35" t="str">
        <x:v>Mexico, Chile</x:v>
      </x:c>
      <x:c r="F213" s="35" t="n">
        <x:v>45835.40625</x:v>
      </x:c>
      <x:c r="G213" s="35" t="str"/>
      <x:c r="H213" s="35" t="str">
        <x:v>obsolete/superseded</x:v>
      </x:c>
      <x:c r="I213" s="35" t="str">
        <x:v>-</x:v>
      </x:c>
      <x:c r="J213" s="35" t="str">
        <x:v>https://hrcportal.ohchr.org/draft-resolutions?sessionID=18502&amp;page=1</x:v>
      </x:c>
    </x:row>
    <x:row r="214" ht="42" customHeight="1">
      <x:c r="A214" s="34" t="str">
        <x:v>59</x:v>
      </x:c>
      <x:c r="B214" s="34" t="str">
        <x:v>18502</x:v>
      </x:c>
      <x:c r="C214" s="34" t="str">
        <x:v>A/HRC/59/L.18/Rev.1</x:v>
      </x:c>
      <x:c r="D214" s="34" t="str">
        <x:v>Mandate of the Working Group on discrimination against women and girls</x:v>
      </x:c>
      <x:c r="E214" s="34" t="str">
        <x:v>Mexico, Chile</x:v>
      </x:c>
      <x:c r="F214" s="34" t="n">
        <x:v>45840.361805555556</x:v>
      </x:c>
      <x:c r="G214" s="34" t="str">
        <x:v>A/HRC/RES/59/14</x:v>
      </x:c>
      <x:c r="H214" s="34" t="str">
        <x:v>adopted</x:v>
      </x:c>
      <x:c r="I214" s="34" t="str">
        <x:v>Adopted without a vote</x:v>
      </x:c>
      <x:c r="J214" s="34" t="str">
        <x:v>https://hrcportal.ohchr.org/draft-resolutions?sessionID=18502&amp;page=1</x:v>
      </x:c>
    </x:row>
    <x:row r="215" ht="42" customHeight="1">
      <x:c r="A215" s="35" t="str">
        <x:v>59</x:v>
      </x:c>
      <x:c r="B215" s="35" t="str">
        <x:v>18502</x:v>
      </x:c>
      <x:c r="C215" s="35" t="str">
        <x:v>A/HRC/59/L.19</x:v>
      </x:c>
      <x:c r="D215" s="35" t="str">
        <x:v>OBSOLETE</x:v>
      </x:c>
      <x:c r="E215" s="35" t="str">
        <x:v>Saudi Arabia, Algeria, Azerbaijan, Kuwait, Pakistan, Viet Nam</x:v>
      </x:c>
      <x:c r="F215" s="35" t="n">
        <x:v>45835.4375</x:v>
      </x:c>
      <x:c r="G215" s="35" t="str"/>
      <x:c r="H215" s="35" t="str">
        <x:v>obsolete/superseded</x:v>
      </x:c>
      <x:c r="I215" s="35" t="str">
        <x:v>-</x:v>
      </x:c>
      <x:c r="J215" s="35" t="str">
        <x:v>https://hrcportal.ohchr.org/draft-resolutions?sessionID=18502&amp;page=2</x:v>
      </x:c>
    </x:row>
    <x:row r="216" ht="42" customHeight="1">
      <x:c r="A216" s="34" t="str">
        <x:v>59</x:v>
      </x:c>
      <x:c r="B216" s="34" t="str">
        <x:v>18502</x:v>
      </x:c>
      <x:c r="C216" s="34" t="str">
        <x:v>A/HRC/59/L.19/Rev.1</x:v>
      </x:c>
      <x:c r="D216" s="34" t="str">
        <x:v>Enhancing international cooperation, technical assistance and capacity-building to strengthen national frameworks for the protection and empowerment of children in the digital space</x:v>
      </x:c>
      <x:c r="E216" s="34" t="str">
        <x:v>Saudi Arabia, Algeria, Azerbaijan, Kuwait, Pakistan, Viet Nam</x:v>
      </x:c>
      <x:c r="F216" s="34" t="n">
        <x:v>45840.34652777778</x:v>
      </x:c>
      <x:c r="G216" s="34" t="str">
        <x:v>A/HRC/RES/59/23</x:v>
      </x:c>
      <x:c r="H216" s="34" t="str">
        <x:v>adopted</x:v>
      </x:c>
      <x:c r="I216" s="34" t="str">
        <x:v>Adopted without a vote</x:v>
      </x:c>
      <x:c r="J216" s="34" t="str">
        <x:v>https://hrcportal.ohchr.org/draft-resolutions?sessionID=18502&amp;page=2</x:v>
      </x:c>
    </x:row>
    <x:row r="217" ht="42" customHeight="1">
      <x:c r="A217" s="35" t="str">
        <x:v>59</x:v>
      </x:c>
      <x:c r="B217" s="35" t="str">
        <x:v>18502</x:v>
      </x:c>
      <x:c r="C217" s="35" t="str">
        <x:v>A/HRC/59/L.2</x:v>
      </x:c>
      <x:c r="D217" s="35" t="str">
        <x:v>Mandate of Independent Expert on protection against violence and discrimination based on sexual orientation and gender identity</x:v>
      </x:c>
      <x:c r="E217" s="35" t="str">
        <x:v>Uruguay, Brazil, Chile, Colombia, Costa Rica, Mexico​</x:v>
      </x:c>
      <x:c r="F217" s="35" t="n">
        <x:v>45831.561111111114</x:v>
      </x:c>
      <x:c r="G217" s="35" t="str">
        <x:v>A/HRC/RES/59/5</x:v>
      </x:c>
      <x:c r="H217" s="35" t="str">
        <x:v>adopted</x:v>
      </x:c>
      <x:c r="I217" s="35" t="str">
        <x:v>Adopted by a recorded vote - 29-15-3</x:v>
      </x:c>
      <x:c r="J217" s="35" t="str">
        <x:v>https://hrcportal.ohchr.org/draft-resolutions?sessionID=18502&amp;page=0</x:v>
      </x:c>
    </x:row>
    <x:row r="218" ht="42" customHeight="1">
      <x:c r="A218" s="34" t="str">
        <x:v>59</x:v>
      </x:c>
      <x:c r="B218" s="34" t="str">
        <x:v>18502</x:v>
      </x:c>
      <x:c r="C218" s="34" t="str">
        <x:v>A/HRC/59/L.20</x:v>
      </x:c>
      <x:c r="D218" s="34" t="str">
        <x:v>The safety of journalists</x:v>
      </x:c>
      <x:c r="E218" s="34" t="str">
        <x:v>Austria, Brazil, France, Greece, Morocco, Qatar, Tunisia</x:v>
      </x:c>
      <x:c r="F218" s="34" t="n">
        <x:v>45835.441666666666</x:v>
      </x:c>
      <x:c r="G218" s="34" t="str">
        <x:v>A/HRC/RES/59/15</x:v>
      </x:c>
      <x:c r="H218" s="34" t="str">
        <x:v>adopted</x:v>
      </x:c>
      <x:c r="I218" s="34" t="str">
        <x:v>Adopted without a vote</x:v>
      </x:c>
      <x:c r="J218" s="34" t="str">
        <x:v>https://hrcportal.ohchr.org/draft-resolutions?sessionID=18502&amp;page=2</x:v>
      </x:c>
    </x:row>
    <x:row r="219" ht="42" customHeight="1">
      <x:c r="A219" s="35" t="str">
        <x:v>59</x:v>
      </x:c>
      <x:c r="B219" s="35" t="str">
        <x:v>18502</x:v>
      </x:c>
      <x:c r="C219" s="35" t="str">
        <x:v>A/HRC/59/L.21</x:v>
      </x:c>
      <x:c r="D219" s="35" t="str">
        <x:v>Situation of human rights of Rohingya Muslims and other minorities in Myanmar</x:v>
      </x:c>
      <x:c r="E219" s="35" t="str">
        <x:v>Pakistan (on behalf of the Organization of Islamic Cooperation)</x:v>
      </x:c>
      <x:c r="F219" s="35" t="n">
        <x:v>45835.444444444445</x:v>
      </x:c>
      <x:c r="G219" s="35" t="str">
        <x:v>A/HRC/RES/59/2</x:v>
      </x:c>
      <x:c r="H219" s="35" t="str">
        <x:v>adopted</x:v>
      </x:c>
      <x:c r="I219" s="35" t="str">
        <x:v>Adopted as orally revised without a vote Oral Revision - A/HRC/59/L.21</x:v>
      </x:c>
      <x:c r="J219" s="35" t="str">
        <x:v>https://hrcportal.ohchr.org/draft-resolutions?sessionID=18502&amp;page=2</x:v>
      </x:c>
    </x:row>
    <x:row r="220" ht="42" customHeight="1">
      <x:c r="A220" s="34" t="str">
        <x:v>59</x:v>
      </x:c>
      <x:c r="B220" s="34" t="str">
        <x:v>18502</x:v>
      </x:c>
      <x:c r="C220" s="34" t="str">
        <x:v>A/HRC/59/L.22</x:v>
      </x:c>
      <x:c r="D220" s="34" t="str">
        <x:v>Elimination of female genital mutilation</x:v>
      </x:c>
      <x:c r="E220" s="34" t="str">
        <x:v>Ghana (on behalf of the Group of African States)</x:v>
      </x:c>
      <x:c r="F220" s="34" t="n">
        <x:v>45835.45763888889</x:v>
      </x:c>
      <x:c r="G220" s="34" t="str">
        <x:v>A/HRC/RES/59/16</x:v>
      </x:c>
      <x:c r="H220" s="34" t="str">
        <x:v>adopted</x:v>
      </x:c>
      <x:c r="I220" s="34" t="str">
        <x:v>Adopted without a vote</x:v>
      </x:c>
      <x:c r="J220" s="34" t="str">
        <x:v>https://hrcportal.ohchr.org/draft-resolutions?sessionID=18502&amp;page=2</x:v>
      </x:c>
    </x:row>
    <x:row r="221" ht="42" customHeight="1">
      <x:c r="A221" s="35" t="str">
        <x:v>59</x:v>
      </x:c>
      <x:c r="B221" s="35" t="str">
        <x:v>18502</x:v>
      </x:c>
      <x:c r="C221" s="35" t="str">
        <x:v>A/HRC/59/L.23</x:v>
      </x:c>
      <x:c r="D221" s="35" t="str">
        <x:v>OBSOLETE</x:v>
      </x:c>
      <x:c r="E221" s="35" t="str">
        <x:v>Qatar, Indonesia, Morocco</x:v>
      </x:c>
      <x:c r="F221" s="35" t="n">
        <x:v>45835.64027777778</x:v>
      </x:c>
      <x:c r="G221" s="35" t="str"/>
      <x:c r="H221" s="35" t="str">
        <x:v>obsolete/superseded</x:v>
      </x:c>
      <x:c r="I221" s="35" t="str">
        <x:v>-</x:v>
      </x:c>
      <x:c r="J221" s="35" t="str">
        <x:v>https://hrcportal.ohchr.org/draft-resolutions?sessionID=18502&amp;page=2</x:v>
      </x:c>
    </x:row>
    <x:row r="222" ht="42" customHeight="1">
      <x:c r="A222" s="34" t="str">
        <x:v>59</x:v>
      </x:c>
      <x:c r="B222" s="34" t="str">
        <x:v>18502</x:v>
      </x:c>
      <x:c r="C222" s="34" t="str">
        <x:v>A/HRC/59/L.23/Rev.1</x:v>
      </x:c>
      <x:c r="D222" s="34" t="str">
        <x:v>Empowering women and girls in and through sport</x:v>
      </x:c>
      <x:c r="E222" s="34" t="str">
        <x:v>Qatar, Indonesia, Morocco</x:v>
      </x:c>
      <x:c r="F222" s="34" t="n">
        <x:v>45841.39861111111</x:v>
      </x:c>
      <x:c r="G222" s="34" t="str">
        <x:v>A/HRC/RES/59/17</x:v>
      </x:c>
      <x:c r="H222" s="34" t="str">
        <x:v>adopted</x:v>
      </x:c>
      <x:c r="I222" s="34" t="str">
        <x:v>Adopted without a vote</x:v>
      </x:c>
      <x:c r="J222" s="34" t="str">
        <x:v>https://hrcportal.ohchr.org/draft-resolutions?sessionID=18502&amp;page=2</x:v>
      </x:c>
    </x:row>
    <x:row r="223" ht="42" customHeight="1">
      <x:c r="A223" s="35" t="str">
        <x:v>59</x:v>
      </x:c>
      <x:c r="B223" s="35" t="str">
        <x:v>18502</x:v>
      </x:c>
      <x:c r="C223" s="35" t="str">
        <x:v>A/HRC/59/L.24</x:v>
      </x:c>
      <x:c r="D223" s="35" t="str">
        <x:v>OBSOLETE</x:v>
      </x:c>
      <x:c r="E223" s="35" t="str">
        <x:v>Canada</x:v>
      </x:c>
      <x:c r="F223" s="35" t="n">
        <x:v>45838.345138888886</x:v>
      </x:c>
      <x:c r="G223" s="35" t="str"/>
      <x:c r="H223" s="35" t="str">
        <x:v>obsolete/superseded</x:v>
      </x:c>
      <x:c r="I223" s="35" t="str">
        <x:v>-</x:v>
      </x:c>
      <x:c r="J223" s="35" t="str">
        <x:v>https://hrcportal.ohchr.org/draft-resolutions?sessionID=18502&amp;page=2</x:v>
      </x:c>
    </x:row>
    <x:row r="224" ht="42" customHeight="1">
      <x:c r="A224" s="34" t="str">
        <x:v>59</x:v>
      </x:c>
      <x:c r="B224" s="34" t="str">
        <x:v>18502</x:v>
      </x:c>
      <x:c r="C224" s="34" t="str">
        <x:v>A/HRC/59/L.24/Rev.1</x:v>
      </x:c>
      <x:c r="D224" s="34" t="str">
        <x:v>Accelerating efforts to eliminate all forms of violence against women and girls: prevention through the fulfilment of economic, social and cultural rights</x:v>
      </x:c>
      <x:c r="E224" s="34" t="str">
        <x:v>Canada</x:v>
      </x:c>
      <x:c r="F224" s="34" t="n">
        <x:v>45840.3625</x:v>
      </x:c>
      <x:c r="G224" s="34" t="str">
        <x:v>A/HRC/RES/59/20</x:v>
      </x:c>
      <x:c r="H224" s="34" t="str">
        <x:v>adopted</x:v>
      </x:c>
      <x:c r="I224" s="34" t="str">
        <x:v>Adopted as orally revised without a vote Oral Revision - A/HRC/59/L.24/Rev.1</x:v>
      </x:c>
      <x:c r="J224" s="34" t="str">
        <x:v>https://hrcportal.ohchr.org/draft-resolutions?sessionID=18502&amp;page=2</x:v>
      </x:c>
    </x:row>
    <x:row r="225" ht="42" customHeight="1">
      <x:c r="A225" s="35" t="str">
        <x:v>59</x:v>
      </x:c>
      <x:c r="B225" s="35" t="str">
        <x:v>18502</x:v>
      </x:c>
      <x:c r="C225" s="35" t="str">
        <x:v>A/HRC/59/L.25</x:v>
      </x:c>
      <x:c r="D225" s="35" t="str">
        <x:v>OBSOLETE</x:v>
      </x:c>
      <x:c r="E225" s="35" t="str">
        <x:v>Kyrgyzstan, Dominican Republic, Republic of Moldova, Sierra Leone, United Kingdom of Great Britain and Northern Ireland</x:v>
      </x:c>
      <x:c r="F225" s="35" t="n">
        <x:v>45838.37847222222</x:v>
      </x:c>
      <x:c r="G225" s="35" t="str"/>
      <x:c r="H225" s="35" t="str">
        <x:v>obsolete/superseded</x:v>
      </x:c>
      <x:c r="I225" s="35" t="str">
        <x:v>-</x:v>
      </x:c>
      <x:c r="J225" s="35" t="str">
        <x:v>https://hrcportal.ohchr.org/draft-resolutions?sessionID=18502&amp;page=2</x:v>
      </x:c>
    </x:row>
    <x:row r="226" ht="42" customHeight="1">
      <x:c r="A226" s="34" t="str">
        <x:v>59</x:v>
      </x:c>
      <x:c r="B226" s="34" t="str">
        <x:v>18502</x:v>
      </x:c>
      <x:c r="C226" s="34" t="str">
        <x:v>A/HRC/59/L.25/Rev.1</x:v>
      </x:c>
      <x:c r="D226" s="34" t="str">
        <x:v>Accelerating efforts to achieve women’s economic empowerment</x:v>
      </x:c>
      <x:c r="E226" s="34" t="str">
        <x:v>Kyrgyzstan, Dominican Republic, Republic of Moldova, Sierra Leone, United Kingdom of Great Britain and Northern Ireland</x:v>
      </x:c>
      <x:c r="F226" s="34" t="n">
        <x:v>45841.43472222222</x:v>
      </x:c>
      <x:c r="G226" s="34" t="str">
        <x:v>A/HRC/RES/59/18</x:v>
      </x:c>
      <x:c r="H226" s="34" t="str">
        <x:v>adopted</x:v>
      </x:c>
      <x:c r="I226" s="34" t="str">
        <x:v>Adopted without a vote</x:v>
      </x:c>
      <x:c r="J226" s="34" t="str">
        <x:v>https://hrcportal.ohchr.org/draft-resolutions?sessionID=18502&amp;page=3</x:v>
      </x:c>
    </x:row>
    <x:row r="227" ht="42" customHeight="1">
      <x:c r="A227" s="35" t="str">
        <x:v>59</x:v>
      </x:c>
      <x:c r="B227" s="35" t="str">
        <x:v>18502</x:v>
      </x:c>
      <x:c r="C227" s="35" t="str">
        <x:v>A/HRC/59/L.26</x:v>
      </x:c>
      <x:c r="D227" s="35" t="str">
        <x:v>Enhancement of technical cooperation and capacity-building in the field of human rights in Colombia to implement the recommendations of the Commission for the Clarification of Truth, Coexistence and Non-Repetition</x:v>
      </x:c>
      <x:c r="E227" s="35" t="str">
        <x:v>Colombia</x:v>
      </x:c>
      <x:c r="F227" s="35" t="n">
        <x:v>45838.45694444444</x:v>
      </x:c>
      <x:c r="G227" s="35" t="str">
        <x:v>A/HRC/RES/59/24</x:v>
      </x:c>
      <x:c r="H227" s="35" t="str">
        <x:v>adopted</x:v>
      </x:c>
      <x:c r="I227" s="35" t="str">
        <x:v>Adopted without a vote</x:v>
      </x:c>
      <x:c r="J227" s="35" t="str">
        <x:v>https://hrcportal.ohchr.org/draft-resolutions?sessionID=18502&amp;page=3</x:v>
      </x:c>
    </x:row>
    <x:row r="228" ht="42" customHeight="1">
      <x:c r="A228" s="34" t="str">
        <x:v>59</x:v>
      </x:c>
      <x:c r="B228" s="34" t="str">
        <x:v>18502</x:v>
      </x:c>
      <x:c r="C228" s="34" t="str">
        <x:v>A/HRC/59/L.27</x:v>
      </x:c>
      <x:c r="D228" s="34" t="str">
        <x:v>Amendment to A/HRC/59/L.24/Rev.1</x:v>
      </x:c>
      <x:c r="E228" s="34" t="str">
        <x:v>Bahrain (on behalf of the Group of Arab States)</x:v>
      </x:c>
      <x:c r="F228" s="34" t="n">
        <x:v>45840.322222222225</x:v>
      </x:c>
      <x:c r="G228" s="34" t="str"/>
      <x:c r="H228" s="34" t="str">
        <x:v>tabled; no final resolution shown</x:v>
      </x:c>
      <x:c r="I228" s="34" t="str">
        <x:v>Rejected by a recorded vote - 13-27-6</x:v>
      </x:c>
      <x:c r="J228" s="34" t="str">
        <x:v>https://hrcportal.ohchr.org/draft-resolutions?sessionID=18502&amp;page=3</x:v>
      </x:c>
    </x:row>
    <x:row r="229" ht="42" customHeight="1">
      <x:c r="A229" s="35" t="str">
        <x:v>59</x:v>
      </x:c>
      <x:c r="B229" s="35" t="str">
        <x:v>18502</x:v>
      </x:c>
      <x:c r="C229" s="35" t="str">
        <x:v>A/HRC/59/L.28</x:v>
      </x:c>
      <x:c r="D229" s="35" t="str">
        <x:v>Amendment to A/HRC/59/L.24/Rev.1</x:v>
      </x:c>
      <x:c r="E229" s="35" t="str">
        <x:v>Bahrain (on behalf of the Group of Arab States)</x:v>
      </x:c>
      <x:c r="F229" s="35" t="n">
        <x:v>45840.322916666664</x:v>
      </x:c>
      <x:c r="G229" s="35" t="str"/>
      <x:c r="H229" s="35" t="str">
        <x:v>tabled; no final resolution shown</x:v>
      </x:c>
      <x:c r="I229" s="35" t="str">
        <x:v>Rejected by a recorded vote - 13-27-5</x:v>
      </x:c>
      <x:c r="J229" s="35" t="str">
        <x:v>https://hrcportal.ohchr.org/draft-resolutions?sessionID=18502&amp;page=3</x:v>
      </x:c>
    </x:row>
    <x:row r="230" ht="42" customHeight="1">
      <x:c r="A230" s="34" t="str">
        <x:v>59</x:v>
      </x:c>
      <x:c r="B230" s="34" t="str">
        <x:v>18502</x:v>
      </x:c>
      <x:c r="C230" s="34" t="str">
        <x:v>A/HRC/59/L.29</x:v>
      </x:c>
      <x:c r="D230" s="34" t="str">
        <x:v>Amendment to A/HRC/59/L.24/Rev.1</x:v>
      </x:c>
      <x:c r="E230" s="34" t="str">
        <x:v>Bahrain (on behalf of the Group of Arab States)</x:v>
      </x:c>
      <x:c r="F230" s="34" t="n">
        <x:v>45840.32361111111</x:v>
      </x:c>
      <x:c r="G230" s="34" t="str"/>
      <x:c r="H230" s="34" t="str">
        <x:v>tabled; no final resolution shown</x:v>
      </x:c>
      <x:c r="I230" s="34" t="str">
        <x:v>Rejected by a recorded vote - 13-26-7</x:v>
      </x:c>
      <x:c r="J230" s="34" t="str">
        <x:v>https://hrcportal.ohchr.org/draft-resolutions?sessionID=18502&amp;page=3</x:v>
      </x:c>
    </x:row>
    <x:row r="231" ht="42" customHeight="1">
      <x:c r="A231" s="35" t="str">
        <x:v>59</x:v>
      </x:c>
      <x:c r="B231" s="35" t="str">
        <x:v>18502</x:v>
      </x:c>
      <x:c r="C231" s="35" t="str">
        <x:v>A/HRC/59/L.3</x:v>
      </x:c>
      <x:c r="D231" s="35" t="str">
        <x:v>Cooperation with and assistance to Ukraine in the field of human rights</x:v>
      </x:c>
      <x:c r="E231" s="35" t="str">
        <x:v>Ukraine</x:v>
      </x:c>
      <x:c r="F231" s="35" t="n">
        <x:v>45832.30902777778</x:v>
      </x:c>
      <x:c r="G231" s="35" t="str">
        <x:v>A/HRC/RES/59/22</x:v>
      </x:c>
      <x:c r="H231" s="35" t="str">
        <x:v>adopted</x:v>
      </x:c>
      <x:c r="I231" s="35" t="str">
        <x:v>Adopted by a recorded vote - 28-2-17</x:v>
      </x:c>
      <x:c r="J231" s="35" t="str">
        <x:v>https://hrcportal.ohchr.org/draft-resolutions?sessionID=18502&amp;page=0</x:v>
      </x:c>
    </x:row>
    <x:row r="232" ht="42" customHeight="1">
      <x:c r="A232" s="34" t="str">
        <x:v>59</x:v>
      </x:c>
      <x:c r="B232" s="34" t="str">
        <x:v>18502</x:v>
      </x:c>
      <x:c r="C232" s="34" t="str">
        <x:v>A/HRC/59/L.30</x:v>
      </x:c>
      <x:c r="D232" s="34" t="str">
        <x:v>Amendment to A/HRC/59/L.17</x:v>
      </x:c>
      <x:c r="E232" s="34" t="str">
        <x:v>Marshall Islands</x:v>
      </x:c>
      <x:c r="F232" s="34" t="n">
        <x:v>45840.45347222222</x:v>
      </x:c>
      <x:c r="G232" s="34" t="str"/>
      <x:c r="H232" s="34" t="str">
        <x:v>withdrawn</x:v>
      </x:c>
      <x:c r="I232" s="34" t="str">
        <x:v>Withdrawn by sponsor(s)</x:v>
      </x:c>
      <x:c r="J232" s="34" t="str">
        <x:v>https://hrcportal.ohchr.org/draft-resolutions?sessionID=18502&amp;page=3</x:v>
      </x:c>
    </x:row>
    <x:row r="233" ht="42" customHeight="1">
      <x:c r="A233" s="35" t="str">
        <x:v>59</x:v>
      </x:c>
      <x:c r="B233" s="35" t="str">
        <x:v>18502</x:v>
      </x:c>
      <x:c r="C233" s="35" t="str">
        <x:v>A/HRC/59/L.31</x:v>
      </x:c>
      <x:c r="D233" s="35" t="str">
        <x:v>Amendment to A/HRC/59/L.24/Rev.1</x:v>
      </x:c>
      <x:c r="E233" s="35" t="str">
        <x:v>Russian Federation</x:v>
      </x:c>
      <x:c r="F233" s="35" t="n">
        <x:v>45840.45416666667</x:v>
      </x:c>
      <x:c r="G233" s="35" t="str"/>
      <x:c r="H233" s="35" t="str">
        <x:v>withdrawn</x:v>
      </x:c>
      <x:c r="I233" s="35" t="str">
        <x:v>Withdrawn by sponsor(s)</x:v>
      </x:c>
      <x:c r="J233" s="35" t="str">
        <x:v>https://hrcportal.ohchr.org/draft-resolutions?sessionID=18502&amp;page=3</x:v>
      </x:c>
    </x:row>
    <x:row r="234" ht="42" customHeight="1">
      <x:c r="A234" s="34" t="str">
        <x:v>59</x:v>
      </x:c>
      <x:c r="B234" s="34" t="str">
        <x:v>18502</x:v>
      </x:c>
      <x:c r="C234" s="34" t="str">
        <x:v>A/HRC/59/L.32</x:v>
      </x:c>
      <x:c r="D234" s="34" t="str">
        <x:v>Amendment to A/HRC/59/L.24/Rev.1</x:v>
      </x:c>
      <x:c r="E234" s="34" t="str">
        <x:v>Russian Federation</x:v>
      </x:c>
      <x:c r="F234" s="34" t="n">
        <x:v>45840.45486111111</x:v>
      </x:c>
      <x:c r="G234" s="34" t="str"/>
      <x:c r="H234" s="34" t="str">
        <x:v>withdrawn</x:v>
      </x:c>
      <x:c r="I234" s="34" t="str">
        <x:v>Withdrawn by sponsor(s)</x:v>
      </x:c>
      <x:c r="J234" s="34" t="str">
        <x:v>https://hrcportal.ohchr.org/draft-resolutions?sessionID=18502&amp;page=3</x:v>
      </x:c>
    </x:row>
    <x:row r="235" ht="42" customHeight="1">
      <x:c r="A235" s="35" t="str">
        <x:v>59</x:v>
      </x:c>
      <x:c r="B235" s="35" t="str">
        <x:v>18502</x:v>
      </x:c>
      <x:c r="C235" s="35" t="str">
        <x:v>A/HRC/59/L.33</x:v>
      </x:c>
      <x:c r="D235" s="35" t="str">
        <x:v>Amendment to A/HRC/59/L.24/Rev.1</x:v>
      </x:c>
      <x:c r="E235" s="35" t="str">
        <x:v>Russian Federation</x:v>
      </x:c>
      <x:c r="F235" s="35" t="n">
        <x:v>45840.455555555556</x:v>
      </x:c>
      <x:c r="G235" s="35" t="str"/>
      <x:c r="H235" s="35" t="str">
        <x:v>withdrawn</x:v>
      </x:c>
      <x:c r="I235" s="35" t="str">
        <x:v>Withdrawn by sponsor(s)</x:v>
      </x:c>
      <x:c r="J235" s="35" t="str">
        <x:v>https://hrcportal.ohchr.org/draft-resolutions?sessionID=18502&amp;page=3</x:v>
      </x:c>
    </x:row>
    <x:row r="236" ht="42" customHeight="1">
      <x:c r="A236" s="34" t="str">
        <x:v>59</x:v>
      </x:c>
      <x:c r="B236" s="34" t="str">
        <x:v>18502</x:v>
      </x:c>
      <x:c r="C236" s="34" t="str">
        <x:v>A/HRC/59/L.34</x:v>
      </x:c>
      <x:c r="D236" s="34" t="str">
        <x:v>Amendment to A/HRC/59/L.24/Rev.1</x:v>
      </x:c>
      <x:c r="E236" s="34" t="str">
        <x:v>Russian Federation</x:v>
      </x:c>
      <x:c r="F236" s="34" t="n">
        <x:v>45840.45625</x:v>
      </x:c>
      <x:c r="G236" s="34" t="str"/>
      <x:c r="H236" s="34" t="str">
        <x:v>withdrawn</x:v>
      </x:c>
      <x:c r="I236" s="34" t="str">
        <x:v>Withdrawn by sponsor(s)</x:v>
      </x:c>
      <x:c r="J236" s="34" t="str">
        <x:v>https://hrcportal.ohchr.org/draft-resolutions?sessionID=18502&amp;page=3</x:v>
      </x:c>
    </x:row>
    <x:row r="237" ht="42" customHeight="1">
      <x:c r="A237" s="35" t="str">
        <x:v>59</x:v>
      </x:c>
      <x:c r="B237" s="35" t="str">
        <x:v>18502</x:v>
      </x:c>
      <x:c r="C237" s="35" t="str">
        <x:v>A/HRC/59/L.35</x:v>
      </x:c>
      <x:c r="D237" s="35" t="str">
        <x:v>Amendment to A/HRC/59/L.24/Rev.1</x:v>
      </x:c>
      <x:c r="E237" s="35" t="str">
        <x:v>Russian Federation</x:v>
      </x:c>
      <x:c r="F237" s="35" t="n">
        <x:v>45840.45694444444</x:v>
      </x:c>
      <x:c r="G237" s="35" t="str"/>
      <x:c r="H237" s="35" t="str">
        <x:v>withdrawn</x:v>
      </x:c>
      <x:c r="I237" s="35" t="str">
        <x:v>Withdrawn by sponsor(s)</x:v>
      </x:c>
      <x:c r="J237" s="35" t="str">
        <x:v>https://hrcportal.ohchr.org/draft-resolutions?sessionID=18502&amp;page=4</x:v>
      </x:c>
    </x:row>
    <x:row r="238" ht="42" customHeight="1">
      <x:c r="A238" s="34" t="str">
        <x:v>59</x:v>
      </x:c>
      <x:c r="B238" s="34" t="str">
        <x:v>18502</x:v>
      </x:c>
      <x:c r="C238" s="34" t="str">
        <x:v>A/HRC/59/L.36</x:v>
      </x:c>
      <x:c r="D238" s="34" t="str">
        <x:v>Amendment to A/HRC/59/L.24/Rev.1</x:v>
      </x:c>
      <x:c r="E238" s="34" t="str">
        <x:v>Russian Federation</x:v>
      </x:c>
      <x:c r="F238" s="34" t="n">
        <x:v>45840.45763888889</x:v>
      </x:c>
      <x:c r="G238" s="34" t="str"/>
      <x:c r="H238" s="34" t="str">
        <x:v>withdrawn</x:v>
      </x:c>
      <x:c r="I238" s="34" t="str">
        <x:v>Withdrawn by sponsor(s)</x:v>
      </x:c>
      <x:c r="J238" s="34" t="str">
        <x:v>https://hrcportal.ohchr.org/draft-resolutions?sessionID=18502&amp;page=4</x:v>
      </x:c>
    </x:row>
    <x:row r="239" ht="42" customHeight="1">
      <x:c r="A239" s="35" t="str">
        <x:v>59</x:v>
      </x:c>
      <x:c r="B239" s="35" t="str">
        <x:v>18502</x:v>
      </x:c>
      <x:c r="C239" s="35" t="str">
        <x:v>A/HRC/59/L.37</x:v>
      </x:c>
      <x:c r="D239" s="35" t="str">
        <x:v>Implementation of activities mandated by the Human Rights Council in the context of the United Nations liquidity and financial crisis</x:v>
      </x:c>
      <x:c r="E239" s="35" t="str">
        <x:v>President of the Human Rights Council</x:v>
      </x:c>
      <x:c r="F239" s="35" t="n">
        <x:v>45842.5375</x:v>
      </x:c>
      <x:c r="G239" s="35" t="str"/>
      <x:c r="H239" s="35" t="str">
        <x:v>tabled; no final resolution shown</x:v>
      </x:c>
      <x:c r="I239" s="35" t="str">
        <x:v>Adopted without a vote</x:v>
      </x:c>
      <x:c r="J239" s="35" t="str">
        <x:v>https://hrcportal.ohchr.org/draft-resolutions?sessionID=18502&amp;page=4</x:v>
      </x:c>
    </x:row>
    <x:row r="240" ht="42" customHeight="1">
      <x:c r="A240" s="34" t="str">
        <x:v>59</x:v>
      </x:c>
      <x:c r="B240" s="34" t="str">
        <x:v>18502</x:v>
      </x:c>
      <x:c r="C240" s="34" t="str">
        <x:v>A/HRC/59/L.4</x:v>
      </x:c>
      <x:c r="D240" s="34" t="str">
        <x:v>Enhancement of international cooperation in the field of human rights</x:v>
      </x:c>
      <x:c r="E240" s="34" t="str">
        <x:v>Uganda (on behalf of the Movement of Non-Aligned Countries)</x:v>
      </x:c>
      <x:c r="F240" s="34" t="n">
        <x:v>45833.32638888889</x:v>
      </x:c>
      <x:c r="G240" s="34" t="str">
        <x:v>A/HRC/RES/59/3</x:v>
      </x:c>
      <x:c r="H240" s="34" t="str">
        <x:v>adopted</x:v>
      </x:c>
      <x:c r="I240" s="34" t="str">
        <x:v>Adopted by a recorded vote - 30-16-1</x:v>
      </x:c>
      <x:c r="J240" s="34" t="str">
        <x:v>https://hrcportal.ohchr.org/draft-resolutions?sessionID=18502&amp;page=0</x:v>
      </x:c>
    </x:row>
    <x:row r="241" ht="42" customHeight="1">
      <x:c r="A241" s="35" t="str">
        <x:v>59</x:v>
      </x:c>
      <x:c r="B241" s="35" t="str">
        <x:v>18502</x:v>
      </x:c>
      <x:c r="C241" s="35" t="str">
        <x:v>A/HRC/59/L.5</x:v>
      </x:c>
      <x:c r="D241" s="35" t="str">
        <x:v>The rights to freedom of peaceful assembly and of association</x:v>
      </x:c>
      <x:c r="E241" s="35" t="str">
        <x:v>Czechia, Chile, Iceland, Indonesia, Lithuania, Maldives</x:v>
      </x:c>
      <x:c r="F241" s="35" t="n">
        <x:v>45833.549305555556</x:v>
      </x:c>
      <x:c r="G241" s="35" t="str">
        <x:v>A/HRC/RES/59/4</x:v>
      </x:c>
      <x:c r="H241" s="35" t="str">
        <x:v>adopted</x:v>
      </x:c>
      <x:c r="I241" s="35" t="str">
        <x:v>Adopted without a vote</x:v>
      </x:c>
      <x:c r="J241" s="35" t="str">
        <x:v>https://hrcportal.ohchr.org/draft-resolutions?sessionID=18502&amp;page=0</x:v>
      </x:c>
    </x:row>
    <x:row r="242" ht="42" customHeight="1">
      <x:c r="A242" s="34" t="str">
        <x:v>59</x:v>
      </x:c>
      <x:c r="B242" s="34" t="str">
        <x:v>18502</x:v>
      </x:c>
      <x:c r="C242" s="34" t="str">
        <x:v>A/HRC/59/L.6</x:v>
      </x:c>
      <x:c r="D242" s="34" t="str">
        <x:v>The negative impact of corruption on the enjoyment of human rights</x:v>
      </x:c>
      <x:c r="E242" s="34" t="str">
        <x:v>Morocco, Argentina, Austria, Brazil, Ecuador, Ethiopia, Indonesia, Poland, United Kingdom of Great Britain and Northern Ireland</x:v>
      </x:c>
      <x:c r="F242" s="34" t="n">
        <x:v>45833.714583333334</x:v>
      </x:c>
      <x:c r="G242" s="34" t="str">
        <x:v>A/HRC/RES/59/6</x:v>
      </x:c>
      <x:c r="H242" s="34" t="str">
        <x:v>adopted</x:v>
      </x:c>
      <x:c r="I242" s="34" t="str">
        <x:v>Adopted without a vote</x:v>
      </x:c>
      <x:c r="J242" s="34" t="str">
        <x:v>https://hrcportal.ohchr.org/draft-resolutions?sessionID=18502&amp;page=0</x:v>
      </x:c>
    </x:row>
    <x:row r="243" ht="42" customHeight="1">
      <x:c r="A243" s="35" t="str">
        <x:v>59</x:v>
      </x:c>
      <x:c r="B243" s="35" t="str">
        <x:v>18502</x:v>
      </x:c>
      <x:c r="C243" s="35" t="str">
        <x:v>A/HRC/59/L.7</x:v>
      </x:c>
      <x:c r="D243" s="35" t="str">
        <x:v>Situation of human rights in Eritrea</x:v>
      </x:c>
      <x:c r="E243" s="35" t="str">
        <x:v>Poland (on behalf of the European Union)</x:v>
      </x:c>
      <x:c r="F243" s="35" t="n">
        <x:v>45834.493055555555</x:v>
      </x:c>
      <x:c r="G243" s="35" t="str">
        <x:v>A/HRC/RES/59/1</x:v>
      </x:c>
      <x:c r="H243" s="35" t="str">
        <x:v>adopted</x:v>
      </x:c>
      <x:c r="I243" s="35" t="str">
        <x:v>Adopted by a recorded vote - 23-4-20</x:v>
      </x:c>
      <x:c r="J243" s="35" t="str">
        <x:v>https://hrcportal.ohchr.org/draft-resolutions?sessionID=18502&amp;page=0</x:v>
      </x:c>
    </x:row>
    <x:row r="244" ht="42" customHeight="1">
      <x:c r="A244" s="34" t="str">
        <x:v>59</x:v>
      </x:c>
      <x:c r="B244" s="34" t="str">
        <x:v>18502</x:v>
      </x:c>
      <x:c r="C244" s="34" t="str">
        <x:v>A/HRC/59/L.8</x:v>
      </x:c>
      <x:c r="D244" s="34" t="str">
        <x:v>Access to medicines, vaccines and other health products in the context of the right of everyone to the enjoyment of the highest attainable standard of physical and mental health</x:v>
      </x:c>
      <x:c r="E244" s="34" t="str">
        <x:v>Brazil, Bangladesh, China, Egypt, India, Indonesia, Senegal, South Africa, Thailand</x:v>
      </x:c>
      <x:c r="F244" s="34" t="n">
        <x:v>45834.569444444445</x:v>
      </x:c>
      <x:c r="G244" s="34" t="str">
        <x:v>A/HRC/RES/59/7</x:v>
      </x:c>
      <x:c r="H244" s="34" t="str">
        <x:v>adopted</x:v>
      </x:c>
      <x:c r="I244" s="34" t="str">
        <x:v>Adopted by a recorded vote - 32-0-15</x:v>
      </x:c>
      <x:c r="J244" s="34" t="str">
        <x:v>https://hrcportal.ohchr.org/draft-resolutions?sessionID=18502&amp;page=0</x:v>
      </x:c>
    </x:row>
    <x:row r="245" ht="42" customHeight="1">
      <x:c r="A245" s="35" t="str">
        <x:v>59</x:v>
      </x:c>
      <x:c r="B245" s="35" t="str">
        <x:v>18502</x:v>
      </x:c>
      <x:c r="C245" s="35" t="str">
        <x:v>A/HRC/59/L.9</x:v>
      </x:c>
      <x:c r="D245" s="35" t="str">
        <x:v>Human rights and international solidarity</x:v>
      </x:c>
      <x:c r="E245" s="35" t="str">
        <x:v>Cuba</x:v>
      </x:c>
      <x:c r="F245" s="35" t="n">
        <x:v>45834.71805555555</x:v>
      </x:c>
      <x:c r="G245" s="35" t="str">
        <x:v>A/HRC/RES/59/8</x:v>
      </x:c>
      <x:c r="H245" s="35" t="str">
        <x:v>adopted</x:v>
      </x:c>
      <x:c r="I245" s="35" t="str">
        <x:v>Adopted by a recorded vote - 27-16-4</x:v>
      </x:c>
      <x:c r="J245" s="35" t="str">
        <x:v>https://hrcportal.ohchr.org/draft-resolutions?sessionID=18502&amp;page=0</x:v>
      </x:c>
    </x:row>
    <x:row r="246" ht="42" customHeight="1">
      <x:c r="A246" s="34" t="str">
        <x:v>59</x:v>
      </x:c>
      <x:c r="B246" s="34" t="str">
        <x:v>18502</x:v>
      </x:c>
      <x:c r="C246" s="34" t="str">
        <x:v>L.7_oral_amendment</x:v>
      </x:c>
      <x:c r="D246" s="34" t="str">
        <x:v>Oral amendment to draft resolution A/HRC/59/L.7</x:v>
      </x:c>
      <x:c r="E246" s="34" t="str">
        <x:v>Sudan</x:v>
      </x:c>
      <x:c r="F246" s="34" t="n">
        <x:v>45842.62152777778</x:v>
      </x:c>
      <x:c r="G246" s="34" t="str"/>
      <x:c r="H246" s="34" t="str">
        <x:v>tabled; no final resolution shown</x:v>
      </x:c>
      <x:c r="I246" s="34" t="str">
        <x:v>Rejected by a recorded vote - 1-24-19</x:v>
      </x:c>
      <x:c r="J246" s="34" t="str">
        <x:v>https://hrcportal.ohchr.org/draft-resolutions?sessionID=18502&amp;page=0</x:v>
      </x:c>
    </x:row>
    <x:row r="247" ht="42" customHeight="1">
      <x:c r="A247" s="35" t="str">
        <x:v>60</x:v>
      </x:c>
      <x:c r="B247" s="35" t="str">
        <x:v>18354</x:v>
      </x:c>
      <x:c r="C247" s="35" t="str">
        <x:v>A/HRC/60/L.1/Rev.1</x:v>
      </x:c>
      <x:c r="D247" s="35" t="str">
        <x:v>Promoting reconciliation, accountability and human rights in Sri Lanka</x:v>
      </x:c>
      <x:c r="E247" s="35" t="str">
        <x:v>United Kingdom of Great Britain and Northern Ireland, Canada, Malawi, Montenegro, North Macedonia</x:v>
      </x:c>
      <x:c r="F247" s="35" t="n">
        <x:v>45923.572916666664</x:v>
      </x:c>
      <x:c r="G247" s="35" t="str">
        <x:v>A/HRC/RES/60/1</x:v>
      </x:c>
      <x:c r="H247" s="35" t="str">
        <x:v>adopted</x:v>
      </x:c>
      <x:c r="I247" s="35" t="str">
        <x:v>Adopted without a vote</x:v>
      </x:c>
      <x:c r="J247" s="35" t="str">
        <x:v>https://hrcportal.ohchr.org/draft-resolutions?sessionID=18354&amp;page=0</x:v>
      </x:c>
    </x:row>
    <x:row r="248" ht="42" customHeight="1">
      <x:c r="A248" s="34" t="str">
        <x:v>60</x:v>
      </x:c>
      <x:c r="B248" s="34" t="str">
        <x:v>18354</x:v>
      </x:c>
      <x:c r="C248" s="34" t="str">
        <x:v>A/HRC/60/L.10</x:v>
      </x:c>
      <x:c r="D248" s="34" t="str">
        <x:v>The human rights to safe drinking water and sanitation</x:v>
      </x:c>
      <x:c r="E248" s="34" t="str">
        <x:v>Germany, Spain</x:v>
      </x:c>
      <x:c r="F248" s="34" t="n">
        <x:v>45924.370833333334</x:v>
      </x:c>
      <x:c r="G248" s="34" t="str">
        <x:v>A/HRC/RES/60/9</x:v>
      </x:c>
      <x:c r="H248" s="34" t="str">
        <x:v>adopted</x:v>
      </x:c>
      <x:c r="I248" s="34" t="str">
        <x:v>Adopted without a vote</x:v>
      </x:c>
      <x:c r="J248" s="34" t="str">
        <x:v>https://hrcportal.ohchr.org/draft-resolutions?sessionID=18354&amp;page=0</x:v>
      </x:c>
    </x:row>
    <x:row r="249" ht="42" customHeight="1">
      <x:c r="A249" s="35" t="str">
        <x:v>60</x:v>
      </x:c>
      <x:c r="B249" s="35" t="str">
        <x:v>18354</x:v>
      </x:c>
      <x:c r="C249" s="35" t="str">
        <x:v>A/HRC/60/L.11</x:v>
      </x:c>
      <x:c r="D249" s="35" t="str">
        <x:v>Promoting international cooperation to support national mechanisms for implementation, reporting and follow-up</x:v>
      </x:c>
      <x:c r="E249" s="35" t="str">
        <x:v>Paraguay, Brazil</x:v>
      </x:c>
      <x:c r="F249" s="35" t="n">
        <x:v>45924.3875</x:v>
      </x:c>
      <x:c r="G249" s="35" t="str">
        <x:v>A/HRC/RES/60/27</x:v>
      </x:c>
      <x:c r="H249" s="35" t="str">
        <x:v>adopted</x:v>
      </x:c>
      <x:c r="I249" s="35" t="str">
        <x:v>Adopted without a vote</x:v>
      </x:c>
      <x:c r="J249" s="35" t="str">
        <x:v>https://hrcportal.ohchr.org/draft-resolutions?sessionID=18354&amp;page=1</x:v>
      </x:c>
    </x:row>
    <x:row r="250" ht="42" customHeight="1">
      <x:c r="A250" s="34" t="str">
        <x:v>60</x:v>
      </x:c>
      <x:c r="B250" s="34" t="str">
        <x:v>18354</x:v>
      </x:c>
      <x:c r="C250" s="34" t="str">
        <x:v>A/HRC/60/L.12</x:v>
      </x:c>
      <x:c r="D250" s="34" t="str">
        <x:v>Question of the death penalty</x:v>
      </x:c>
      <x:c r="E250" s="34" t="str">
        <x:v>Switzerland, Belgium, Benin, Costa Rica, France, Mexico, Mongolia, Republic of Moldova</x:v>
      </x:c>
      <x:c r="F250" s="34" t="n">
        <x:v>45924.42083333333</x:v>
      </x:c>
      <x:c r="G250" s="34" t="str">
        <x:v>A/HRC/RES/60/17</x:v>
      </x:c>
      <x:c r="H250" s="34" t="str">
        <x:v>adopted</x:v>
      </x:c>
      <x:c r="I250" s="34" t="str">
        <x:v>Adopted by a recorded vote - 31-7-8</x:v>
      </x:c>
      <x:c r="J250" s="34" t="str">
        <x:v>https://hrcportal.ohchr.org/draft-resolutions?sessionID=18354&amp;page=1</x:v>
      </x:c>
    </x:row>
    <x:row r="251" ht="42" customHeight="1">
      <x:c r="A251" s="35" t="str">
        <x:v>60</x:v>
      </x:c>
      <x:c r="B251" s="35" t="str">
        <x:v>18354</x:v>
      </x:c>
      <x:c r="C251" s="35" t="str">
        <x:v>A/HRC/60/L.13</x:v>
      </x:c>
      <x:c r="D251" s="35" t="str">
        <x:v>Situation of human rights in Burundi</x:v>
      </x:c>
      <x:c r="E251" s="35" t="str">
        <x:v>Denmark (on behalf of the European Union)</x:v>
      </x:c>
      <x:c r="F251" s="35" t="n">
        <x:v>45924.45763888889</x:v>
      </x:c>
      <x:c r="G251" s="35" t="str">
        <x:v>A/HRC/RES/60/15</x:v>
      </x:c>
      <x:c r="H251" s="35" t="str">
        <x:v>adopted</x:v>
      </x:c>
      <x:c r="I251" s="35" t="str">
        <x:v>Adopted by a recorded vote - 23-9-15</x:v>
      </x:c>
      <x:c r="J251" s="35" t="str">
        <x:v>https://hrcportal.ohchr.org/draft-resolutions?sessionID=18354&amp;page=1</x:v>
      </x:c>
    </x:row>
    <x:row r="252" ht="42" customHeight="1">
      <x:c r="A252" s="34" t="str">
        <x:v>60</x:v>
      </x:c>
      <x:c r="B252" s="34" t="str">
        <x:v>18354</x:v>
      </x:c>
      <x:c r="C252" s="34" t="str">
        <x:v>A/HRC/60/L.14</x:v>
      </x:c>
      <x:c r="D252" s="34" t="str">
        <x:v>Assistance to Somalia in the field of human rights</x:v>
      </x:c>
      <x:c r="E252" s="34" t="str">
        <x:v>United Kingdom of Great Britain and Northern Ireland, Somalia</x:v>
      </x:c>
      <x:c r="F252" s="34" t="n">
        <x:v>45924.580555555556</x:v>
      </x:c>
      <x:c r="G252" s="34" t="str">
        <x:v>A/HRC/RES/60/28</x:v>
      </x:c>
      <x:c r="H252" s="34" t="str">
        <x:v>adopted</x:v>
      </x:c>
      <x:c r="I252" s="34" t="str">
        <x:v>Adopted without a vote</x:v>
      </x:c>
      <x:c r="J252" s="34" t="str">
        <x:v>https://hrcportal.ohchr.org/draft-resolutions?sessionID=18354&amp;page=1</x:v>
      </x:c>
    </x:row>
    <x:row r="253" ht="42" customHeight="1">
      <x:c r="A253" s="35" t="str">
        <x:v>60</x:v>
      </x:c>
      <x:c r="B253" s="35" t="str">
        <x:v>18354</x:v>
      </x:c>
      <x:c r="C253" s="35" t="str">
        <x:v>A/HRC/60/L.15</x:v>
      </x:c>
      <x:c r="D253" s="35" t="str">
        <x:v>The human rights of older persons</x:v>
      </x:c>
      <x:c r="E253" s="35" t="str">
        <x:v>Argentina, Brazil, Gambia, Philippines, Slovenia</x:v>
      </x:c>
      <x:c r="F253" s="35" t="n">
        <x:v>45924.645833333336</x:v>
      </x:c>
      <x:c r="G253" s="35" t="str">
        <x:v>A/HRC/RES/60/11</x:v>
      </x:c>
      <x:c r="H253" s="35" t="str">
        <x:v>adopted</x:v>
      </x:c>
      <x:c r="I253" s="35" t="str">
        <x:v>Adopted without a vote</x:v>
      </x:c>
      <x:c r="J253" s="35" t="str">
        <x:v>https://hrcportal.ohchr.org/draft-resolutions?sessionID=18354&amp;page=1</x:v>
      </x:c>
    </x:row>
    <x:row r="254" ht="42" customHeight="1">
      <x:c r="A254" s="34" t="str">
        <x:v>60</x:v>
      </x:c>
      <x:c r="B254" s="34" t="str">
        <x:v>18354</x:v>
      </x:c>
      <x:c r="C254" s="34" t="str">
        <x:v>A/HRC/60/L.16</x:v>
      </x:c>
      <x:c r="D254" s="34" t="str">
        <x:v>Cooperation with Georgia</x:v>
      </x:c>
      <x:c r="E254" s="34" t="str">
        <x:v>Georgia</x:v>
      </x:c>
      <x:c r="F254" s="34" t="n">
        <x:v>45924.675</x:v>
      </x:c>
      <x:c r="G254" s="34" t="str">
        <x:v>A/HRC/RES/60/29</x:v>
      </x:c>
      <x:c r="H254" s="34" t="str">
        <x:v>adopted</x:v>
      </x:c>
      <x:c r="I254" s="34" t="str">
        <x:v>Adopted without a vote</x:v>
      </x:c>
      <x:c r="J254" s="34" t="str">
        <x:v>https://hrcportal.ohchr.org/draft-resolutions?sessionID=18354&amp;page=1</x:v>
      </x:c>
    </x:row>
    <x:row r="255" ht="42" customHeight="1">
      <x:c r="A255" s="35" t="str">
        <x:v>60</x:v>
      </x:c>
      <x:c r="B255" s="35" t="str">
        <x:v>18354</x:v>
      </x:c>
      <x:c r="C255" s="35" t="str">
        <x:v>A/HRC/60/L.17</x:v>
      </x:c>
      <x:c r="D255" s="35" t="str">
        <x:v>Enhancement of technical cooperation and capacity-building in the field of human rights</x:v>
      </x:c>
      <x:c r="E255" s="35" t="str">
        <x:v>Thailand, Brazil, Honduras, Indonesia, Morocco, Norway, Qatar, Singapore, Türkiye</x:v>
      </x:c>
      <x:c r="F255" s="35" t="n">
        <x:v>45924.68263888889</x:v>
      </x:c>
      <x:c r="G255" s="35" t="str">
        <x:v>A/HRC/RES/60/30</x:v>
      </x:c>
      <x:c r="H255" s="35" t="str">
        <x:v>adopted</x:v>
      </x:c>
      <x:c r="I255" s="35" t="str">
        <x:v>Adopted without a vote</x:v>
      </x:c>
      <x:c r="J255" s="35" t="str">
        <x:v>https://hrcportal.ohchr.org/draft-resolutions?sessionID=18354&amp;page=1</x:v>
      </x:c>
    </x:row>
    <x:row r="256" ht="42" customHeight="1">
      <x:c r="A256" s="34" t="str">
        <x:v>60</x:v>
      </x:c>
      <x:c r="B256" s="34" t="str">
        <x:v>18354</x:v>
      </x:c>
      <x:c r="C256" s="34" t="str">
        <x:v>A/HRC/60/L.18</x:v>
      </x:c>
      <x:c r="D256" s="34" t="str">
        <x:v>Responding to the human rights and humanitarian crisis caused by the ongoing armed conflict in the Sudan</x:v>
      </x:c>
      <x:c r="E256" s="34" t="str">
        <x:v>United Kingdom of Great Britain and Northern Ireland, Germany, Ireland, Netherlands (Kingdom of the), Norway</x:v>
      </x:c>
      <x:c r="F256" s="34" t="n">
        <x:v>45924.688888888886</x:v>
      </x:c>
      <x:c r="G256" s="34" t="str">
        <x:v>A/HRC/RES/60/3</x:v>
      </x:c>
      <x:c r="H256" s="34" t="str">
        <x:v>adopted</x:v>
      </x:c>
      <x:c r="I256" s="34" t="str">
        <x:v>Adopted by a recorded vote - 24-11-12</x:v>
      </x:c>
      <x:c r="J256" s="34" t="str">
        <x:v>https://hrcportal.ohchr.org/draft-resolutions?sessionID=18354&amp;page=1</x:v>
      </x:c>
    </x:row>
    <x:row r="257" ht="42" customHeight="1">
      <x:c r="A257" s="35" t="str">
        <x:v>60</x:v>
      </x:c>
      <x:c r="B257" s="35" t="str">
        <x:v>18354</x:v>
      </x:c>
      <x:c r="C257" s="35" t="str">
        <x:v>A/HRC/60/L.19</x:v>
      </x:c>
      <x:c r="D257" s="35" t="str">
        <x:v>The right of everyone to the enjoyment of the highest attainable standard of physical and mental health</x:v>
      </x:c>
      <x:c r="E257" s="35" t="str">
        <x:v>Brazil</x:v>
      </x:c>
      <x:c r="F257" s="35" t="n">
        <x:v>45925.30625</x:v>
      </x:c>
      <x:c r="G257" s="35" t="str">
        <x:v>A/HRC/RES/60/10</x:v>
      </x:c>
      <x:c r="H257" s="35" t="str">
        <x:v>adopted</x:v>
      </x:c>
      <x:c r="I257" s="35" t="str">
        <x:v>Adopted without a vote</x:v>
      </x:c>
      <x:c r="J257" s="35" t="str">
        <x:v>https://hrcportal.ohchr.org/draft-resolutions?sessionID=18354&amp;page=1</x:v>
      </x:c>
    </x:row>
    <x:row r="258" ht="42" customHeight="1">
      <x:c r="A258" s="34" t="str">
        <x:v>60</x:v>
      </x:c>
      <x:c r="B258" s="34" t="str">
        <x:v>18354</x:v>
      </x:c>
      <x:c r="C258" s="34" t="str">
        <x:v>A/HRC/60/L.2</x:v>
      </x:c>
      <x:c r="D258" s="34" t="str">
        <x:v>Human rights and Indigenous Peoples: mandate of Special Rapporteur on the rights of Indigenous Peoples</x:v>
      </x:c>
      <x:c r="E258" s="34" t="str">
        <x:v>Mexico, Guatemala</x:v>
      </x:c>
      <x:c r="F258" s="34" t="n">
        <x:v>45917.60833333333</x:v>
      </x:c>
      <x:c r="G258" s="34" t="str">
        <x:v>A/HRC/RES/60/4</x:v>
      </x:c>
      <x:c r="H258" s="34" t="str">
        <x:v>adopted</x:v>
      </x:c>
      <x:c r="I258" s="34" t="str">
        <x:v>Adopted without a vote</x:v>
      </x:c>
      <x:c r="J258" s="34" t="str">
        <x:v>https://hrcportal.ohchr.org/draft-resolutions?sessionID=18354&amp;page=0</x:v>
      </x:c>
    </x:row>
    <x:row r="259" ht="42" customHeight="1">
      <x:c r="A259" s="35" t="str">
        <x:v>60</x:v>
      </x:c>
      <x:c r="B259" s="35" t="str">
        <x:v>18354</x:v>
      </x:c>
      <x:c r="C259" s="35" t="str">
        <x:v>A/HRC/60/L.20/Rev.1</x:v>
      </x:c>
      <x:c r="D259" s="35" t="str">
        <x:v>Preventable maternal mortality and morbidity and human rights</x:v>
      </x:c>
      <x:c r="E259" s="35" t="str">
        <x:v>New Zealand, Colombia, Estonia</x:v>
      </x:c>
      <x:c r="F259" s="35" t="n">
        <x:v>45931.35763888889</x:v>
      </x:c>
      <x:c r="G259" s="35" t="str">
        <x:v>A/HRC/RES/60/18</x:v>
      </x:c>
      <x:c r="H259" s="35" t="str">
        <x:v>adopted</x:v>
      </x:c>
      <x:c r="I259" s="35" t="str">
        <x:v>Adopted as orally revised without a vote Oral Revision - A/HRC/60/L.20/Rev.1</x:v>
      </x:c>
      <x:c r="J259" s="35" t="str">
        <x:v>https://hrcportal.ohchr.org/draft-resolutions?sessionID=18354&amp;page=1</x:v>
      </x:c>
    </x:row>
    <x:row r="260" ht="42" customHeight="1">
      <x:c r="A260" s="34" t="str">
        <x:v>60</x:v>
      </x:c>
      <x:c r="B260" s="34" t="str">
        <x:v>18354</x:v>
      </x:c>
      <x:c r="C260" s="34" t="str">
        <x:v>A/HRC/60/L.21</x:v>
      </x:c>
      <x:c r="D260" s="34" t="str">
        <x:v>The role of prevention in the promotion and protection of human rights: the rule of law and accountability​​</x:v>
      </x:c>
      <x:c r="E260" s="34" t="str">
        <x:v>Ukraine, Australia, Hungary, Maldives, Morocco, Poland, Uruguay</x:v>
      </x:c>
      <x:c r="F260" s="34" t="n">
        <x:v>45925.313888888886</x:v>
      </x:c>
      <x:c r="G260" s="34" t="str">
        <x:v>A/HRC/RES/60/12</x:v>
      </x:c>
      <x:c r="H260" s="34" t="str">
        <x:v>adopted</x:v>
      </x:c>
      <x:c r="I260" s="34" t="str">
        <x:v>Adopted without a vote</x:v>
      </x:c>
      <x:c r="J260" s="34" t="str">
        <x:v>https://hrcportal.ohchr.org/draft-resolutions?sessionID=18354&amp;page=2</x:v>
      </x:c>
    </x:row>
    <x:row r="261" ht="42" customHeight="1">
      <x:c r="A261" s="35" t="str">
        <x:v>60</x:v>
      </x:c>
      <x:c r="B261" s="35" t="str">
        <x:v>18354</x:v>
      </x:c>
      <x:c r="C261" s="35" t="str">
        <x:v>A/HRC/60/L.22</x:v>
      </x:c>
      <x:c r="D261" s="35" t="str">
        <x:v>A world of sports free from racism, racial discrimination, xenophobia and related intolerance</x:v>
      </x:c>
      <x:c r="E261" s="35" t="str">
        <x:v>Brazil, Ghana (on behalf of Group of African States)</x:v>
      </x:c>
      <x:c r="F261" s="35" t="n">
        <x:v>45925.31527777778</x:v>
      </x:c>
      <x:c r="G261" s="35" t="str">
        <x:v>A/HRC/RES/60/24</x:v>
      </x:c>
      <x:c r="H261" s="35" t="str">
        <x:v>adopted</x:v>
      </x:c>
      <x:c r="I261" s="35" t="str">
        <x:v>Adopted without a vote</x:v>
      </x:c>
      <x:c r="J261" s="35" t="str">
        <x:v>https://hrcportal.ohchr.org/draft-resolutions?sessionID=18354&amp;page=2</x:v>
      </x:c>
    </x:row>
    <x:row r="262" ht="42" customHeight="1">
      <x:c r="A262" s="34" t="str">
        <x:v>60</x:v>
      </x:c>
      <x:c r="B262" s="34" t="str">
        <x:v>18354</x:v>
      </x:c>
      <x:c r="C262" s="34" t="str">
        <x:v>A/HRC/60/L.23</x:v>
      </x:c>
      <x:c r="D262" s="34" t="str">
        <x:v>Situation of human rights in the Russian Federation</x:v>
      </x:c>
      <x:c r="E262" s="34" t="str">
        <x:v>Netherlands (Kingdom of the), Austria, Belgium, Bulgaria, Croatia, Cyprus, Czechia, Denmark, Estonia, Finland, France, Germany, Greece, Ireland, Italy, Latvia, Lithuania, Luxembourg, Malta, Poland, Portugal, Romania, Slovakia, Slovenia, Spain, Sweden</x:v>
      </x:c>
      <x:c r="F262" s="34" t="n">
        <x:v>45925.37708333333</x:v>
      </x:c>
      <x:c r="G262" s="34" t="str">
        <x:v>A/HRC/RES/60/21</x:v>
      </x:c>
      <x:c r="H262" s="34" t="str">
        <x:v>adopted</x:v>
      </x:c>
      <x:c r="I262" s="34" t="str">
        <x:v>Adopted by a recorded vote - 20-8-18</x:v>
      </x:c>
      <x:c r="J262" s="34" t="str">
        <x:v>https://hrcportal.ohchr.org/draft-resolutions?sessionID=18354&amp;page=2</x:v>
      </x:c>
    </x:row>
    <x:row r="263" ht="42" customHeight="1">
      <x:c r="A263" s="35" t="str">
        <x:v>60</x:v>
      </x:c>
      <x:c r="B263" s="35" t="str">
        <x:v>18354</x:v>
      </x:c>
      <x:c r="C263" s="35" t="str">
        <x:v>A/HRC/60/L.24/Rev.1</x:v>
      </x:c>
      <x:c r="D263" s="35" t="str">
        <x:v>Human rights and Indigenous Peoples</x:v>
      </x:c>
      <x:c r="E263" s="35" t="str">
        <x:v>Mexico, Guatemala</x:v>
      </x:c>
      <x:c r="F263" s="35" t="n">
        <x:v>45931.291666666664</x:v>
      </x:c>
      <x:c r="G263" s="35" t="str">
        <x:v>A/HRC/RES/60/13</x:v>
      </x:c>
      <x:c r="H263" s="35" t="str">
        <x:v>adopted</x:v>
      </x:c>
      <x:c r="I263" s="35" t="str">
        <x:v>Adopted without a vote</x:v>
      </x:c>
      <x:c r="J263" s="35" t="str">
        <x:v>https://hrcportal.ohchr.org/draft-resolutions?sessionID=18354&amp;page=2</x:v>
      </x:c>
    </x:row>
    <x:row r="264" ht="42" customHeight="1">
      <x:c r="A264" s="34" t="str">
        <x:v>60</x:v>
      </x:c>
      <x:c r="B264" s="34" t="str">
        <x:v>18354</x:v>
      </x:c>
      <x:c r="C264" s="34" t="str">
        <x:v>A/HRC/60/L.25</x:v>
      </x:c>
      <x:c r="D264" s="34" t="str">
        <x:v>Cooperation with the United Nations, its representatives and mechanisms in the field of human rights</x:v>
      </x:c>
      <x:c r="E264" s="34" t="str">
        <x:v>Hungary, Fiji, Ghana, Ireland, Uruguay</x:v>
      </x:c>
      <x:c r="F264" s="34" t="n">
        <x:v>45925.39236111111</x:v>
      </x:c>
      <x:c r="G264" s="34" t="str">
        <x:v>A/HRC/RES/60/23</x:v>
      </x:c>
      <x:c r="H264" s="34" t="str">
        <x:v>adopted</x:v>
      </x:c>
      <x:c r="I264" s="34" t="str">
        <x:v>Adopted without a vote</x:v>
      </x:c>
      <x:c r="J264" s="34" t="str">
        <x:v>https://hrcportal.ohchr.org/draft-resolutions?sessionID=18354&amp;page=2</x:v>
      </x:c>
    </x:row>
    <x:row r="265" ht="42" customHeight="1">
      <x:c r="A265" s="35" t="str">
        <x:v>60</x:v>
      </x:c>
      <x:c r="B265" s="35" t="str">
        <x:v>18354</x:v>
      </x:c>
      <x:c r="C265" s="35" t="str">
        <x:v>A/HRC/60/L.26</x:v>
      </x:c>
      <x:c r="D265" s="35" t="str">
        <x:v>Technical assistance and capacity-building for Yemen in the field of human rights</x:v>
      </x:c>
      <x:c r="E265" s="35" t="str">
        <x:v>Algeria (on behalf of Group of Arab States)</x:v>
      </x:c>
      <x:c r="F265" s="35" t="n">
        <x:v>45925.43194444444</x:v>
      </x:c>
      <x:c r="G265" s="35" t="str">
        <x:v>A/HRC/RES/60/31</x:v>
      </x:c>
      <x:c r="H265" s="35" t="str">
        <x:v>adopted</x:v>
      </x:c>
      <x:c r="I265" s="35" t="str">
        <x:v>Adopted without a vote</x:v>
      </x:c>
      <x:c r="J265" s="35" t="str">
        <x:v>https://hrcportal.ohchr.org/draft-resolutions?sessionID=18354&amp;page=2</x:v>
      </x:c>
    </x:row>
    <x:row r="266" ht="42" customHeight="1">
      <x:c r="A266" s="34" t="str">
        <x:v>60</x:v>
      </x:c>
      <x:c r="B266" s="34" t="str">
        <x:v>18354</x:v>
      </x:c>
      <x:c r="C266" s="34" t="str">
        <x:v>A/HRC/60/L.27/Rev.1</x:v>
      </x:c>
      <x:c r="D266" s="34" t="str">
        <x:v>Promoting and protecting economic, social and cultural rights within the context of addressing inequalities</x:v>
      </x:c>
      <x:c r="E266" s="34" t="str">
        <x:v>China, Bolivia (Plurinational State of), Egypt, Pakistan, South Africa</x:v>
      </x:c>
      <x:c r="F266" s="34" t="n">
        <x:v>45931.37013888889</x:v>
      </x:c>
      <x:c r="G266" s="34" t="str">
        <x:v>A/HRC/RES/60/14</x:v>
      </x:c>
      <x:c r="H266" s="34" t="str">
        <x:v>adopted</x:v>
      </x:c>
      <x:c r="I266" s="34" t="str">
        <x:v>Adopted without a vote</x:v>
      </x:c>
      <x:c r="J266" s="34" t="str">
        <x:v>https://hrcportal.ohchr.org/draft-resolutions?sessionID=18354&amp;page=2</x:v>
      </x:c>
    </x:row>
    <x:row r="267" ht="42" customHeight="1">
      <x:c r="A267" s="35" t="str">
        <x:v>60</x:v>
      </x:c>
      <x:c r="B267" s="35" t="str">
        <x:v>18354</x:v>
      </x:c>
      <x:c r="C267" s="35" t="str">
        <x:v>A/HRC/60/L.28</x:v>
      </x:c>
      <x:c r="D267" s="35" t="str">
        <x:v>Promotion and protection of the human rights of women and children in conflict and post-conflict situations: ensuring justice, remedies and reparation for victims</x:v>
      </x:c>
      <x:c r="E267" s="35" t="str">
        <x:v>Qatar, Costa Rica</x:v>
      </x:c>
      <x:c r="F267" s="35" t="n">
        <x:v>45925.45625</x:v>
      </x:c>
      <x:c r="G267" s="35" t="str">
        <x:v>A/HRC/RES/60/19</x:v>
      </x:c>
      <x:c r="H267" s="35" t="str">
        <x:v>adopted</x:v>
      </x:c>
      <x:c r="I267" s="35" t="str">
        <x:v>Adopted without a vote</x:v>
      </x:c>
      <x:c r="J267" s="35" t="str">
        <x:v>https://hrcportal.ohchr.org/draft-resolutions?sessionID=18354&amp;page=2</x:v>
      </x:c>
    </x:row>
    <x:row r="268" ht="42" customHeight="1">
      <x:c r="A268" s="34" t="str">
        <x:v>60</x:v>
      </x:c>
      <x:c r="B268" s="34" t="str">
        <x:v>18354</x:v>
      </x:c>
      <x:c r="C268" s="34" t="str">
        <x:v>A/HRC/60/L.29/Rev.1</x:v>
      </x:c>
      <x:c r="D268" s="34" t="str">
        <x:v>From rhetoric to reality: a global call for concrete action against racism, racial discrimination, xenophobia and related intolerance</x:v>
      </x:c>
      <x:c r="E268" s="34" t="str">
        <x:v>Ghana (on behalf of Group of African States)</x:v>
      </x:c>
      <x:c r="F268" s="34" t="n">
        <x:v>45931.37430555555</x:v>
      </x:c>
      <x:c r="G268" s="34" t="str">
        <x:v>A/HRC/RES/60/16</x:v>
      </x:c>
      <x:c r="H268" s="34" t="str">
        <x:v>adopted</x:v>
      </x:c>
      <x:c r="I268" s="34" t="str">
        <x:v>Adopted without a vote</x:v>
      </x:c>
      <x:c r="J268" s="34" t="str">
        <x:v>https://hrcportal.ohchr.org/draft-resolutions?sessionID=18354&amp;page=2</x:v>
      </x:c>
    </x:row>
    <x:row r="269" ht="42" customHeight="1">
      <x:c r="A269" s="35" t="str">
        <x:v>60</x:v>
      </x:c>
      <x:c r="B269" s="35" t="str">
        <x:v>18354</x:v>
      </x:c>
      <x:c r="C269" s="35" t="str">
        <x:v>A/HRC/60/L.3</x:v>
      </x:c>
      <x:c r="D269" s="35" t="str">
        <x:v>Mandate of the Working Group on the use of mercenaries as a means of violating human rights and impeding the exercise of the right of peoples to self-determination</x:v>
      </x:c>
      <x:c r="E269" s="35" t="str">
        <x:v>Cuba</x:v>
      </x:c>
      <x:c r="F269" s="35" t="n">
        <x:v>45923.291666666664</x:v>
      </x:c>
      <x:c r="G269" s="35" t="str">
        <x:v>A/HRC/RES/60/5</x:v>
      </x:c>
      <x:c r="H269" s="35" t="str">
        <x:v>adopted</x:v>
      </x:c>
      <x:c r="I269" s="35" t="str">
        <x:v>Adopted by a recorded vote - 28-17-2</x:v>
      </x:c>
      <x:c r="J269" s="35" t="str">
        <x:v>https://hrcportal.ohchr.org/draft-resolutions?sessionID=18354&amp;page=0</x:v>
      </x:c>
    </x:row>
    <x:row r="270" ht="42" customHeight="1">
      <x:c r="A270" s="34" t="str">
        <x:v>60</x:v>
      </x:c>
      <x:c r="B270" s="34" t="str">
        <x:v>18354</x:v>
      </x:c>
      <x:c r="C270" s="34" t="str">
        <x:v>A/HRC/60/L.30</x:v>
      </x:c>
      <x:c r="D270" s="34" t="str">
        <x:v>Technical assistance and capacity-building to improve human rights in Libya</x:v>
      </x:c>
      <x:c r="E270" s="34" t="str">
        <x:v>Ghana (on behalf of Group of African States)</x:v>
      </x:c>
      <x:c r="F270" s="34" t="n">
        <x:v>45925</x:v>
      </x:c>
      <x:c r="G270" s="34" t="str">
        <x:v>A/HRC/RES/60/32</x:v>
      </x:c>
      <x:c r="H270" s="34" t="str">
        <x:v>adopted</x:v>
      </x:c>
      <x:c r="I270" s="34" t="str">
        <x:v>Adopted without a vote</x:v>
      </x:c>
      <x:c r="J270" s="34" t="str">
        <x:v>https://hrcportal.ohchr.org/draft-resolutions?sessionID=18354&amp;page=2</x:v>
      </x:c>
    </x:row>
    <x:row r="271" ht="42" customHeight="1">
      <x:c r="A271" s="35" t="str">
        <x:v>60</x:v>
      </x:c>
      <x:c r="B271" s="35" t="str">
        <x:v>18354</x:v>
      </x:c>
      <x:c r="C271" s="35" t="str">
        <x:v>A/HRC/60/L.31/Rev.1</x:v>
      </x:c>
      <x:c r="D271" s="35" t="str">
        <x:v>The human rights implications of drug policy</x:v>
      </x:c>
      <x:c r="E271" s="35" t="str">
        <x:v>Colombia, Albania, Brazil, Greece, Guatemala, Mexico, Portugal, Switzerland, Uruguay</x:v>
      </x:c>
      <x:c r="F271" s="35" t="n">
        <x:v>45931.375</x:v>
      </x:c>
      <x:c r="G271" s="35" t="str">
        <x:v>A/HRC/RES/60/26</x:v>
      </x:c>
      <x:c r="H271" s="35" t="str">
        <x:v>adopted</x:v>
      </x:c>
      <x:c r="I271" s="35" t="str">
        <x:v>Adopted as orally revised without a vote Oral Revision - A/HRC/60/L.31/Rev.1</x:v>
      </x:c>
      <x:c r="J271" s="35" t="str">
        <x:v>https://hrcportal.ohchr.org/draft-resolutions?sessionID=18354&amp;page=3</x:v>
      </x:c>
    </x:row>
    <x:row r="272" ht="42" customHeight="1">
      <x:c r="A272" s="34" t="str">
        <x:v>60</x:v>
      </x:c>
      <x:c r="B272" s="34" t="str">
        <x:v>18354</x:v>
      </x:c>
      <x:c r="C272" s="34" t="str">
        <x:v>A/HRC/60/L.32/Rev.1</x:v>
      </x:c>
      <x:c r="D272" s="34" t="str">
        <x:v>Situation des droits de l’homme dans l’est de la République démocratique du Congo</x:v>
      </x:c>
      <x:c r="E272" s="34" t="str">
        <x:v>Democratic Republic of the Congo</x:v>
      </x:c>
      <x:c r="F272" s="34" t="n">
        <x:v>45932.319444444445</x:v>
      </x:c>
      <x:c r="G272" s="34" t="str">
        <x:v>A/HRC/RES/60/22</x:v>
      </x:c>
      <x:c r="H272" s="34" t="str">
        <x:v>adopted</x:v>
      </x:c>
      <x:c r="I272" s="34" t="str">
        <x:v>Adopted as orally revised without a vote Oral Revision - A/HRC/60/L.32/Rev.1</x:v>
      </x:c>
      <x:c r="J272" s="34" t="str">
        <x:v>https://hrcportal.ohchr.org/draft-resolutions?sessionID=18354&amp;page=3</x:v>
      </x:c>
    </x:row>
    <x:row r="273" ht="42" customHeight="1">
      <x:c r="A273" s="35" t="str">
        <x:v>60</x:v>
      </x:c>
      <x:c r="B273" s="35" t="str">
        <x:v>18354</x:v>
      </x:c>
      <x:c r="C273" s="35" t="str">
        <x:v>A/HRC/60/L.33/Rev.1</x:v>
      </x:c>
      <x:c r="D273" s="35" t="str">
        <x:v>Assistance technique et renforcement des capacités dans le domaine des droits de l’homme en République centrafricaine</x:v>
      </x:c>
      <x:c r="E273" s="35" t="str">
        <x:v>Ghana (on behalf of Group of African States)</x:v>
      </x:c>
      <x:c r="F273" s="35" t="n">
        <x:v>45932.375</x:v>
      </x:c>
      <x:c r="G273" s="35" t="str">
        <x:v>A/HRC/RES/60/34</x:v>
      </x:c>
      <x:c r="H273" s="35" t="str">
        <x:v>adopted</x:v>
      </x:c>
      <x:c r="I273" s="35" t="str">
        <x:v>Adopted without a vote</x:v>
      </x:c>
      <x:c r="J273" s="35" t="str">
        <x:v>https://hrcportal.ohchr.org/draft-resolutions?sessionID=18354&amp;page=3</x:v>
      </x:c>
    </x:row>
    <x:row r="274" ht="42" customHeight="1">
      <x:c r="A274" s="34" t="str">
        <x:v>60</x:v>
      </x:c>
      <x:c r="B274" s="34" t="str">
        <x:v>18354</x:v>
      </x:c>
      <x:c r="C274" s="34" t="str">
        <x:v>A/HRC/60/L.34/Rev.1</x:v>
      </x:c>
      <x:c r="D274" s="34" t="str">
        <x:v>Advisory services and technical assistance for Cambodia</x:v>
      </x:c>
      <x:c r="E274" s="34" t="str">
        <x:v>Japan</x:v>
      </x:c>
      <x:c r="F274" s="34" t="n">
        <x:v>45931</x:v>
      </x:c>
      <x:c r="G274" s="34" t="str">
        <x:v>A/HRC/RES/60/33</x:v>
      </x:c>
      <x:c r="H274" s="34" t="str">
        <x:v>adopted</x:v>
      </x:c>
      <x:c r="I274" s="34" t="str">
        <x:v>Adopted without a vote</x:v>
      </x:c>
      <x:c r="J274" s="34" t="str">
        <x:v>https://hrcportal.ohchr.org/draft-resolutions?sessionID=18354&amp;page=3</x:v>
      </x:c>
    </x:row>
    <x:row r="275" ht="42" customHeight="1">
      <x:c r="A275" s="35" t="str">
        <x:v>60</x:v>
      </x:c>
      <x:c r="B275" s="35" t="str">
        <x:v>18354</x:v>
      </x:c>
      <x:c r="C275" s="35" t="str">
        <x:v>A/HRC/60/L.35</x:v>
      </x:c>
      <x:c r="D275" s="35" t="str">
        <x:v>Amendment to draft resolution A/HRC/60/L.20/Rev.1</x:v>
      </x:c>
      <x:c r="E275" s="35" t="str">
        <x:v>Eritrea</x:v>
      </x:c>
      <x:c r="F275" s="35" t="n">
        <x:v>45926.40972222222</x:v>
      </x:c>
      <x:c r="G275" s="35" t="str"/>
      <x:c r="H275" s="35" t="str">
        <x:v>withdrawn</x:v>
      </x:c>
      <x:c r="I275" s="35" t="str">
        <x:v>Withdrawn by sponsor(s)</x:v>
      </x:c>
      <x:c r="J275" s="35" t="str">
        <x:v>https://hrcportal.ohchr.org/draft-resolutions?sessionID=18354&amp;page=3</x:v>
      </x:c>
    </x:row>
    <x:row r="276" ht="42" customHeight="1">
      <x:c r="A276" s="34" t="str">
        <x:v>60</x:v>
      </x:c>
      <x:c r="B276" s="34" t="str">
        <x:v>18354</x:v>
      </x:c>
      <x:c r="C276" s="34" t="str">
        <x:v>A/HRC/60/L.36</x:v>
      </x:c>
      <x:c r="D276" s="34" t="str">
        <x:v>Amendment to draft resolution A/HRC/60/L.12</x:v>
      </x:c>
      <x:c r="E276" s="34" t="str">
        <x:v>Singapore</x:v>
      </x:c>
      <x:c r="F276" s="34" t="n">
        <x:v>45926.43819444445</x:v>
      </x:c>
      <x:c r="G276" s="34" t="str"/>
      <x:c r="H276" s="34" t="str">
        <x:v>tabled; no final resolution shown</x:v>
      </x:c>
      <x:c r="I276" s="34" t="str">
        <x:v>Rejected by a recorded vote - 15-22-10</x:v>
      </x:c>
      <x:c r="J276" s="34" t="str">
        <x:v>https://hrcportal.ohchr.org/draft-resolutions?sessionID=18354&amp;page=3</x:v>
      </x:c>
    </x:row>
    <x:row r="277" ht="42" customHeight="1">
      <x:c r="A277" s="35" t="str">
        <x:v>60</x:v>
      </x:c>
      <x:c r="B277" s="35" t="str">
        <x:v>18354</x:v>
      </x:c>
      <x:c r="C277" s="35" t="str">
        <x:v>A/HRC/60/L.37</x:v>
      </x:c>
      <x:c r="D277" s="35" t="str">
        <x:v>Assistance technique et renforcement des capacités dans le domaine des droits de l’homme en République démocratique du Congo</x:v>
      </x:c>
      <x:c r="E277" s="35" t="str">
        <x:v>Democratic Republic of the Congo</x:v>
      </x:c>
      <x:c r="F277" s="35" t="n">
        <x:v>45926.45208333333</x:v>
      </x:c>
      <x:c r="G277" s="35" t="str">
        <x:v>A/HRC/RES/60/35</x:v>
      </x:c>
      <x:c r="H277" s="35" t="str">
        <x:v>adopted</x:v>
      </x:c>
      <x:c r="I277" s="35" t="str">
        <x:v>Adopted as orally revised without a vote Oral Revision - A/HRC/60/L.37</x:v>
      </x:c>
      <x:c r="J277" s="35" t="str">
        <x:v>https://hrcportal.ohchr.org/draft-resolutions?sessionID=18354&amp;page=3</x:v>
      </x:c>
    </x:row>
    <x:row r="278" ht="42" customHeight="1">
      <x:c r="A278" s="34" t="str">
        <x:v>60</x:v>
      </x:c>
      <x:c r="B278" s="34" t="str">
        <x:v>18354</x:v>
      </x:c>
      <x:c r="C278" s="34" t="str">
        <x:v>A/HRC/60/L.38/Rev.1</x:v>
      </x:c>
      <x:c r="D278" s="34" t="str">
        <x:v>Sea-level rise and its effects on the full and effective enjoyment of human rights</x:v>
      </x:c>
      <x:c r="E278" s="34" t="str">
        <x:v>Dominican Republic, Bahamas, Cabo Verde, Cyprus, Ecuador, Maldives, Malta</x:v>
      </x:c>
      <x:c r="F278" s="34" t="n">
        <x:v>45932.364583333336</x:v>
      </x:c>
      <x:c r="G278" s="34" t="str">
        <x:v>A/HRC/RES/60/20</x:v>
      </x:c>
      <x:c r="H278" s="34" t="str">
        <x:v>adopted</x:v>
      </x:c>
      <x:c r="I278" s="34" t="str">
        <x:v>Adopted as orally revised without a vote Oral Revision - A/HRC/60/L.38/Rev.1</x:v>
      </x:c>
      <x:c r="J278" s="34" t="str">
        <x:v>https://hrcportal.ohchr.org/draft-resolutions?sessionID=18354&amp;page=3</x:v>
      </x:c>
    </x:row>
    <x:row r="279" ht="42" customHeight="1">
      <x:c r="A279" s="35" t="str">
        <x:v>60</x:v>
      </x:c>
      <x:c r="B279" s="35" t="str">
        <x:v>18354</x:v>
      </x:c>
      <x:c r="C279" s="35" t="str">
        <x:v>A/HRC/60/L.39</x:v>
      </x:c>
      <x:c r="D279" s="35" t="str">
        <x:v>Amendment to draft resolution A/HRC/60/L.12</x:v>
      </x:c>
      <x:c r="E279" s="35" t="str">
        <x:v>Algeria (on behalf of Group of Arab States)</x:v>
      </x:c>
      <x:c r="F279" s="35" t="n">
        <x:v>45929.399305555555</x:v>
      </x:c>
      <x:c r="G279" s="35" t="str"/>
      <x:c r="H279" s="35" t="str">
        <x:v>tabled; no final resolution shown</x:v>
      </x:c>
      <x:c r="I279" s="35" t="str">
        <x:v>Rejected by a recorded vote - 16-24-7</x:v>
      </x:c>
      <x:c r="J279" s="35" t="str">
        <x:v>https://hrcportal.ohchr.org/draft-resolutions?sessionID=18354&amp;page=3</x:v>
      </x:c>
    </x:row>
    <x:row r="280" ht="42" customHeight="1">
      <x:c r="A280" s="34" t="str">
        <x:v>60</x:v>
      </x:c>
      <x:c r="B280" s="34" t="str">
        <x:v>18354</x:v>
      </x:c>
      <x:c r="C280" s="34" t="str">
        <x:v>A/HRC/60/L.4</x:v>
      </x:c>
      <x:c r="D280" s="34" t="str">
        <x:v>Promotion of a democratic and equitable international order</x:v>
      </x:c>
      <x:c r="E280" s="34" t="str">
        <x:v>Cuba</x:v>
      </x:c>
      <x:c r="F280" s="34" t="n">
        <x:v>45923.29236111111</x:v>
      </x:c>
      <x:c r="G280" s="34" t="str">
        <x:v>A/HRC/RES/60/6</x:v>
      </x:c>
      <x:c r="H280" s="34" t="str">
        <x:v>adopted</x:v>
      </x:c>
      <x:c r="I280" s="34" t="str">
        <x:v>Adopted by a recorded vote - 24-17-6</x:v>
      </x:c>
      <x:c r="J280" s="34" t="str">
        <x:v>https://hrcportal.ohchr.org/draft-resolutions?sessionID=18354&amp;page=0</x:v>
      </x:c>
    </x:row>
    <x:row r="281" ht="42" customHeight="1">
      <x:c r="A281" s="35" t="str">
        <x:v>60</x:v>
      </x:c>
      <x:c r="B281" s="35" t="str">
        <x:v>18354</x:v>
      </x:c>
      <x:c r="C281" s="35" t="str">
        <x:v>A/HRC/60/L.40</x:v>
      </x:c>
      <x:c r="D281" s="35" t="str">
        <x:v>Amendment to draft resolution A/HRC/60/L.20/Rev.1</x:v>
      </x:c>
      <x:c r="E281" s="35" t="str">
        <x:v>Algeria (on behalf of Group of Arab States)</x:v>
      </x:c>
      <x:c r="F281" s="35" t="n">
        <x:v>45929.4</x:v>
      </x:c>
      <x:c r="G281" s="35" t="str"/>
      <x:c r="H281" s="35" t="str">
        <x:v>tabled; no final resolution shown</x:v>
      </x:c>
      <x:c r="I281" s="35" t="str">
        <x:v>Rejected by a recorded vote - 13-26-7</x:v>
      </x:c>
      <x:c r="J281" s="35" t="str">
        <x:v>https://hrcportal.ohchr.org/draft-resolutions?sessionID=18354&amp;page=3</x:v>
      </x:c>
    </x:row>
    <x:row r="282" ht="42" customHeight="1">
      <x:c r="A282" s="34" t="str">
        <x:v>60</x:v>
      </x:c>
      <x:c r="B282" s="34" t="str">
        <x:v>18354</x:v>
      </x:c>
      <x:c r="C282" s="34" t="str">
        <x:v>A/HRC/60/L.41</x:v>
      </x:c>
      <x:c r="D282" s="34" t="str">
        <x:v>Amendment to draft resolution A/HRC/60/L.20/Rev.1</x:v>
      </x:c>
      <x:c r="E282" s="34" t="str">
        <x:v>Algeria (on behalf of Group of Arab States)</x:v>
      </x:c>
      <x:c r="F282" s="34" t="n">
        <x:v>45929.40069444444</x:v>
      </x:c>
      <x:c r="G282" s="34" t="str"/>
      <x:c r="H282" s="34" t="str">
        <x:v>tabled; no final resolution shown</x:v>
      </x:c>
      <x:c r="I282" s="34" t="str">
        <x:v>Rejected by a recorded vote - 13-26-7</x:v>
      </x:c>
      <x:c r="J282" s="34" t="str">
        <x:v>https://hrcportal.ohchr.org/draft-resolutions?sessionID=18354&amp;page=4</x:v>
      </x:c>
    </x:row>
    <x:row r="283" ht="42" customHeight="1">
      <x:c r="A283" s="35" t="str">
        <x:v>60</x:v>
      </x:c>
      <x:c r="B283" s="35" t="str">
        <x:v>18354</x:v>
      </x:c>
      <x:c r="C283" s="35" t="str">
        <x:v>A/HRC/60/L.42</x:v>
      </x:c>
      <x:c r="D283" s="35" t="str">
        <x:v>Amendment to draft resolution A/HRC/60/L.20/Rev.1</x:v>
      </x:c>
      <x:c r="E283" s="35" t="str">
        <x:v>Algeria (on behalf of Group of Arab States)</x:v>
      </x:c>
      <x:c r="F283" s="35" t="n">
        <x:v>45929.40138888889</x:v>
      </x:c>
      <x:c r="G283" s="35" t="str"/>
      <x:c r="H283" s="35" t="str">
        <x:v>tabled; no final resolution shown</x:v>
      </x:c>
      <x:c r="I283" s="35" t="str">
        <x:v>Rejected by a recorded vote - 13-26-7</x:v>
      </x:c>
      <x:c r="J283" s="35" t="str">
        <x:v>https://hrcportal.ohchr.org/draft-resolutions?sessionID=18354&amp;page=4</x:v>
      </x:c>
    </x:row>
    <x:row r="284" ht="42" customHeight="1">
      <x:c r="A284" s="34" t="str">
        <x:v>60</x:v>
      </x:c>
      <x:c r="B284" s="34" t="str">
        <x:v>18354</x:v>
      </x:c>
      <x:c r="C284" s="34" t="str">
        <x:v>A/HRC/60/L.43</x:v>
      </x:c>
      <x:c r="D284" s="34" t="str">
        <x:v>Amendment to draft resolution A/HRC/60/L.32/Rev.1</x:v>
      </x:c>
      <x:c r="E284" s="34" t="str">
        <x:v>Rwanda</x:v>
      </x:c>
      <x:c r="F284" s="34" t="n">
        <x:v>45931.416666666664</x:v>
      </x:c>
      <x:c r="G284" s="34" t="str"/>
      <x:c r="H284" s="34" t="str">
        <x:v>not considered</x:v>
      </x:c>
      <x:c r="I284" s="34" t="str">
        <x:v>Not considered by the Council</x:v>
      </x:c>
      <x:c r="J284" s="34" t="str">
        <x:v>https://hrcportal.ohchr.org/draft-resolutions?sessionID=18354&amp;page=4</x:v>
      </x:c>
    </x:row>
    <x:row r="285" ht="42" customHeight="1">
      <x:c r="A285" s="35" t="str">
        <x:v>60</x:v>
      </x:c>
      <x:c r="B285" s="35" t="str">
        <x:v>18354</x:v>
      </x:c>
      <x:c r="C285" s="35" t="str">
        <x:v>A/HRC/60/L.44</x:v>
      </x:c>
      <x:c r="D285" s="35" t="str">
        <x:v>Amendment to draft resolution A/HRC/60/L.32/Rev.1</x:v>
      </x:c>
      <x:c r="E285" s="35" t="str">
        <x:v>Rwanda</x:v>
      </x:c>
      <x:c r="F285" s="35" t="n">
        <x:v>45931.41736111111</x:v>
      </x:c>
      <x:c r="G285" s="35" t="str"/>
      <x:c r="H285" s="35" t="str">
        <x:v>not considered</x:v>
      </x:c>
      <x:c r="I285" s="35" t="str">
        <x:v>Not considered by the Council</x:v>
      </x:c>
      <x:c r="J285" s="35" t="str">
        <x:v>https://hrcportal.ohchr.org/draft-resolutions?sessionID=18354&amp;page=4</x:v>
      </x:c>
    </x:row>
    <x:row r="286" ht="42" customHeight="1">
      <x:c r="A286" s="34" t="str">
        <x:v>60</x:v>
      </x:c>
      <x:c r="B286" s="34" t="str">
        <x:v>18354</x:v>
      </x:c>
      <x:c r="C286" s="34" t="str">
        <x:v>A/HRC/60/L.45</x:v>
      </x:c>
      <x:c r="D286" s="34" t="str">
        <x:v>Amendment to draft resolution A/HRC/60/L.32/Rev.1</x:v>
      </x:c>
      <x:c r="E286" s="34" t="str">
        <x:v>Rwanda</x:v>
      </x:c>
      <x:c r="F286" s="34" t="n">
        <x:v>45931.41805555556</x:v>
      </x:c>
      <x:c r="G286" s="34" t="str"/>
      <x:c r="H286" s="34" t="str">
        <x:v>not considered</x:v>
      </x:c>
      <x:c r="I286" s="34" t="str">
        <x:v>Not considered by the Council</x:v>
      </x:c>
      <x:c r="J286" s="34" t="str">
        <x:v>https://hrcportal.ohchr.org/draft-resolutions?sessionID=18354&amp;page=4</x:v>
      </x:c>
    </x:row>
    <x:row r="287" ht="42" customHeight="1">
      <x:c r="A287" s="35" t="str">
        <x:v>60</x:v>
      </x:c>
      <x:c r="B287" s="35" t="str">
        <x:v>18354</x:v>
      </x:c>
      <x:c r="C287" s="35" t="str">
        <x:v>A/HRC/60/L.46</x:v>
      </x:c>
      <x:c r="D287" s="35" t="str">
        <x:v>Amendment to draft resolution A/HRC/60/L.32/Rev.1</x:v>
      </x:c>
      <x:c r="E287" s="35" t="str">
        <x:v>Rwanda</x:v>
      </x:c>
      <x:c r="F287" s="35" t="n">
        <x:v>45931.41875</x:v>
      </x:c>
      <x:c r="G287" s="35" t="str"/>
      <x:c r="H287" s="35" t="str">
        <x:v>not considered</x:v>
      </x:c>
      <x:c r="I287" s="35" t="str">
        <x:v>Not considered by the Council</x:v>
      </x:c>
      <x:c r="J287" s="35" t="str">
        <x:v>https://hrcportal.ohchr.org/draft-resolutions?sessionID=18354&amp;page=4</x:v>
      </x:c>
    </x:row>
    <x:row r="288" ht="42" customHeight="1">
      <x:c r="A288" s="34" t="str">
        <x:v>60</x:v>
      </x:c>
      <x:c r="B288" s="34" t="str">
        <x:v>18354</x:v>
      </x:c>
      <x:c r="C288" s="34" t="str">
        <x:v>A/HRC/60/L.47</x:v>
      </x:c>
      <x:c r="D288" s="34" t="str">
        <x:v>Amendment to draft resolution A/HRC/60/L.32/Rev.1</x:v>
      </x:c>
      <x:c r="E288" s="34" t="str">
        <x:v>Rwanda</x:v>
      </x:c>
      <x:c r="F288" s="34" t="n">
        <x:v>45931.419444444444</x:v>
      </x:c>
      <x:c r="G288" s="34" t="str"/>
      <x:c r="H288" s="34" t="str">
        <x:v>not considered</x:v>
      </x:c>
      <x:c r="I288" s="34" t="str">
        <x:v>Not considered by the Council</x:v>
      </x:c>
      <x:c r="J288" s="34" t="str">
        <x:v>https://hrcportal.ohchr.org/draft-resolutions?sessionID=18354&amp;page=4</x:v>
      </x:c>
    </x:row>
    <x:row r="289" ht="42" customHeight="1">
      <x:c r="A289" s="35" t="str">
        <x:v>60</x:v>
      </x:c>
      <x:c r="B289" s="35" t="str">
        <x:v>18354</x:v>
      </x:c>
      <x:c r="C289" s="35" t="str">
        <x:v>A/HRC/60/L.48</x:v>
      </x:c>
      <x:c r="D289" s="35" t="str">
        <x:v>Amendment to draft resolution A/HRC/60/L.37</x:v>
      </x:c>
      <x:c r="E289" s="35" t="str">
        <x:v>Rwanda</x:v>
      </x:c>
      <x:c r="F289" s="35" t="n">
        <x:v>45931.42013888889</x:v>
      </x:c>
      <x:c r="G289" s="35" t="str"/>
      <x:c r="H289" s="35" t="str">
        <x:v>not considered</x:v>
      </x:c>
      <x:c r="I289" s="35" t="str">
        <x:v>Not considered by the Council</x:v>
      </x:c>
      <x:c r="J289" s="35" t="str">
        <x:v>https://hrcportal.ohchr.org/draft-resolutions?sessionID=18354&amp;page=4</x:v>
      </x:c>
    </x:row>
    <x:row r="290" ht="42" customHeight="1">
      <x:c r="A290" s="34" t="str">
        <x:v>60</x:v>
      </x:c>
      <x:c r="B290" s="34" t="str">
        <x:v>18354</x:v>
      </x:c>
      <x:c r="C290" s="34" t="str">
        <x:v>A/HRC/60/L.49</x:v>
      </x:c>
      <x:c r="D290" s="34" t="str">
        <x:v>Amendment to draft resolution A/HRC/60/L.37</x:v>
      </x:c>
      <x:c r="E290" s="34" t="str">
        <x:v>Rwanda</x:v>
      </x:c>
      <x:c r="F290" s="34" t="n">
        <x:v>45931.42083333333</x:v>
      </x:c>
      <x:c r="G290" s="34" t="str"/>
      <x:c r="H290" s="34" t="str">
        <x:v>not considered</x:v>
      </x:c>
      <x:c r="I290" s="34" t="str">
        <x:v>Not considered by the Council</x:v>
      </x:c>
      <x:c r="J290" s="34" t="str">
        <x:v>https://hrcportal.ohchr.org/draft-resolutions?sessionID=18354&amp;page=4</x:v>
      </x:c>
    </x:row>
    <x:row r="291" ht="42" customHeight="1">
      <x:c r="A291" s="35" t="str">
        <x:v>60</x:v>
      </x:c>
      <x:c r="B291" s="35" t="str">
        <x:v>18354</x:v>
      </x:c>
      <x:c r="C291" s="35" t="str">
        <x:v>A/HRC/60/L.5</x:v>
      </x:c>
      <x:c r="D291" s="35" t="str">
        <x:v>The right to development</x:v>
      </x:c>
      <x:c r="E291" s="35" t="str">
        <x:v>Uganda (on behalf of Movement of Non-Aligned Countries)</x:v>
      </x:c>
      <x:c r="F291" s="35" t="n">
        <x:v>45923.34930555556</x:v>
      </x:c>
      <x:c r="G291" s="35" t="str">
        <x:v>A/HRC/RES/60/7</x:v>
      </x:c>
      <x:c r="H291" s="35" t="str">
        <x:v>adopted</x:v>
      </x:c>
      <x:c r="I291" s="35" t="str">
        <x:v>Adopted by a recorded vote - 28-14-5</x:v>
      </x:c>
      <x:c r="J291" s="35" t="str">
        <x:v>https://hrcportal.ohchr.org/draft-resolutions?sessionID=18354&amp;page=0</x:v>
      </x:c>
    </x:row>
    <x:row r="292" ht="42" customHeight="1">
      <x:c r="A292" s="34" t="str">
        <x:v>60</x:v>
      </x:c>
      <x:c r="B292" s="34" t="str">
        <x:v>18354</x:v>
      </x:c>
      <x:c r="C292" s="34" t="str">
        <x:v>A/HRC/60/L.50</x:v>
      </x:c>
      <x:c r="D292" s="34" t="str">
        <x:v>Amendment to draft resolution A/HRC/60/L.37</x:v>
      </x:c>
      <x:c r="E292" s="34" t="str">
        <x:v>Rwanda</x:v>
      </x:c>
      <x:c r="F292" s="34" t="n">
        <x:v>45931.42152777778</x:v>
      </x:c>
      <x:c r="G292" s="34" t="str"/>
      <x:c r="H292" s="34" t="str">
        <x:v>not considered</x:v>
      </x:c>
      <x:c r="I292" s="34" t="str">
        <x:v>Not considered by the Council</x:v>
      </x:c>
      <x:c r="J292" s="34" t="str">
        <x:v>https://hrcportal.ohchr.org/draft-resolutions?sessionID=18354&amp;page=4</x:v>
      </x:c>
    </x:row>
    <x:row r="293" ht="42" customHeight="1">
      <x:c r="A293" s="35" t="str">
        <x:v>60</x:v>
      </x:c>
      <x:c r="B293" s="35" t="str">
        <x:v>18354</x:v>
      </x:c>
      <x:c r="C293" s="35" t="str">
        <x:v>A/HRC/60/L.51</x:v>
      </x:c>
      <x:c r="D293" s="35" t="str">
        <x:v>Amendment to draft resolution A/HRC/60/L.38/Rev.1</x:v>
      </x:c>
      <x:c r="E293" s="35" t="str">
        <x:v>Vanuatu</x:v>
      </x:c>
      <x:c r="F293" s="35" t="n">
        <x:v>45931.42222222222</x:v>
      </x:c>
      <x:c r="G293" s="35" t="str"/>
      <x:c r="H293" s="35" t="str">
        <x:v>withdrawn</x:v>
      </x:c>
      <x:c r="I293" s="35" t="str">
        <x:v>Withdrawn by sponsor(s)</x:v>
      </x:c>
      <x:c r="J293" s="35" t="str">
        <x:v>https://hrcportal.ohchr.org/draft-resolutions?sessionID=18354&amp;page=5</x:v>
      </x:c>
    </x:row>
    <x:row r="294" ht="42" customHeight="1">
      <x:c r="A294" s="34" t="str">
        <x:v>60</x:v>
      </x:c>
      <x:c r="B294" s="34" t="str">
        <x:v>18354</x:v>
      </x:c>
      <x:c r="C294" s="34" t="str">
        <x:v>A/HRC/60/L.52</x:v>
      </x:c>
      <x:c r="D294" s="34" t="str">
        <x:v>Amendment to draft resolution A/HRC/60/L.20/Rev.1</x:v>
      </x:c>
      <x:c r="E294" s="34" t="str">
        <x:v>Russian Federation</x:v>
      </x:c>
      <x:c r="F294" s="34" t="n">
        <x:v>45931.43194444444</x:v>
      </x:c>
      <x:c r="G294" s="34" t="str"/>
      <x:c r="H294" s="34" t="str">
        <x:v>withdrawn</x:v>
      </x:c>
      <x:c r="I294" s="34" t="str">
        <x:v>Withdrawn by sponsor(s)</x:v>
      </x:c>
      <x:c r="J294" s="34" t="str">
        <x:v>https://hrcportal.ohchr.org/draft-resolutions?sessionID=18354&amp;page=5</x:v>
      </x:c>
    </x:row>
    <x:row r="295" ht="42" customHeight="1">
      <x:c r="A295" s="35" t="str">
        <x:v>60</x:v>
      </x:c>
      <x:c r="B295" s="35" t="str">
        <x:v>18354</x:v>
      </x:c>
      <x:c r="C295" s="35" t="str">
        <x:v>A/HRC/60/L.53</x:v>
      </x:c>
      <x:c r="D295" s="35" t="str">
        <x:v>Amendment to draft resolution A/HRC/60/L.20/Rev.1</x:v>
      </x:c>
      <x:c r="E295" s="35" t="str">
        <x:v>Russian Federation</x:v>
      </x:c>
      <x:c r="F295" s="35" t="n">
        <x:v>45931.43263888889</x:v>
      </x:c>
      <x:c r="G295" s="35" t="str"/>
      <x:c r="H295" s="35" t="str">
        <x:v>withdrawn</x:v>
      </x:c>
      <x:c r="I295" s="35" t="str">
        <x:v>Withdrawn by sponsor(s)</x:v>
      </x:c>
      <x:c r="J295" s="35" t="str">
        <x:v>https://hrcportal.ohchr.org/draft-resolutions?sessionID=18354&amp;page=5</x:v>
      </x:c>
    </x:row>
    <x:row r="296" ht="42" customHeight="1">
      <x:c r="A296" s="34" t="str">
        <x:v>60</x:v>
      </x:c>
      <x:c r="B296" s="34" t="str">
        <x:v>18354</x:v>
      </x:c>
      <x:c r="C296" s="34" t="str">
        <x:v>A/HRC/60/L.54</x:v>
      </x:c>
      <x:c r="D296" s="34" t="str">
        <x:v>Amendment to draft resolution A/HRC/60/L.31/Rev.1</x:v>
      </x:c>
      <x:c r="E296" s="34" t="str">
        <x:v>Russian Federation</x:v>
      </x:c>
      <x:c r="F296" s="34" t="n">
        <x:v>45931.44375</x:v>
      </x:c>
      <x:c r="G296" s="34" t="str"/>
      <x:c r="H296" s="34" t="str">
        <x:v>tabled; no final resolution shown</x:v>
      </x:c>
      <x:c r="I296" s="34" t="str">
        <x:v>Rejected by a recorded vote - 8-26-13</x:v>
      </x:c>
      <x:c r="J296" s="34" t="str">
        <x:v>https://hrcportal.ohchr.org/draft-resolutions?sessionID=18354&amp;page=5</x:v>
      </x:c>
    </x:row>
    <x:row r="297" ht="42" customHeight="1">
      <x:c r="A297" s="35" t="str">
        <x:v>60</x:v>
      </x:c>
      <x:c r="B297" s="35" t="str">
        <x:v>18354</x:v>
      </x:c>
      <x:c r="C297" s="35" t="str">
        <x:v>A/HRC/60/L.55</x:v>
      </x:c>
      <x:c r="D297" s="35" t="str">
        <x:v>Amendment to draft resolution A/HRC/60/L.31/Rev.1</x:v>
      </x:c>
      <x:c r="E297" s="35" t="str">
        <x:v>Russian Federation</x:v>
      </x:c>
      <x:c r="F297" s="35" t="n">
        <x:v>45931.444444444445</x:v>
      </x:c>
      <x:c r="G297" s="35" t="str"/>
      <x:c r="H297" s="35" t="str">
        <x:v>tabled; no final resolution shown</x:v>
      </x:c>
      <x:c r="I297" s="35" t="str">
        <x:v>Rejected by a recorded vote - 10-25-12</x:v>
      </x:c>
      <x:c r="J297" s="35" t="str">
        <x:v>https://hrcportal.ohchr.org/draft-resolutions?sessionID=18354&amp;page=5</x:v>
      </x:c>
    </x:row>
    <x:row r="298" ht="42" customHeight="1">
      <x:c r="A298" s="34" t="str">
        <x:v>60</x:v>
      </x:c>
      <x:c r="B298" s="34" t="str">
        <x:v>18354</x:v>
      </x:c>
      <x:c r="C298" s="34" t="str">
        <x:v>A/HRC/60/L.56</x:v>
      </x:c>
      <x:c r="D298" s="34" t="str">
        <x:v>Amendment to draft resolution A/HRC/60/L.31/Rev.1</x:v>
      </x:c>
      <x:c r="E298" s="34" t="str">
        <x:v>Russian Federation</x:v>
      </x:c>
      <x:c r="F298" s="34" t="n">
        <x:v>45931.44513888889</x:v>
      </x:c>
      <x:c r="G298" s="34" t="str"/>
      <x:c r="H298" s="34" t="str">
        <x:v>tabled; no final resolution shown</x:v>
      </x:c>
      <x:c r="I298" s="34" t="str">
        <x:v>Rejected by a recorded vote - 13-24-10</x:v>
      </x:c>
      <x:c r="J298" s="34" t="str">
        <x:v>https://hrcportal.ohchr.org/draft-resolutions?sessionID=18354&amp;page=5</x:v>
      </x:c>
    </x:row>
    <x:row r="299" ht="42" customHeight="1">
      <x:c r="A299" s="35" t="str">
        <x:v>60</x:v>
      </x:c>
      <x:c r="B299" s="35" t="str">
        <x:v>18354</x:v>
      </x:c>
      <x:c r="C299" s="35" t="str">
        <x:v>A/HRC/60/L.57</x:v>
      </x:c>
      <x:c r="D299" s="35" t="str">
        <x:v>Amendment to draft resolution A/HRC/60/L.31/Rev.1</x:v>
      </x:c>
      <x:c r="E299" s="35" t="str">
        <x:v>Russian Federation</x:v>
      </x:c>
      <x:c r="F299" s="35" t="n">
        <x:v>45931.44583333333</x:v>
      </x:c>
      <x:c r="G299" s="35" t="str"/>
      <x:c r="H299" s="35" t="str">
        <x:v>tabled; no final resolution shown</x:v>
      </x:c>
      <x:c r="I299" s="35" t="str">
        <x:v>Rejected by a recorded vote - 9-25-13</x:v>
      </x:c>
      <x:c r="J299" s="35" t="str">
        <x:v>https://hrcportal.ohchr.org/draft-resolutions?sessionID=18354&amp;page=5</x:v>
      </x:c>
    </x:row>
    <x:row r="300" ht="42" customHeight="1">
      <x:c r="A300" s="34" t="str">
        <x:v>60</x:v>
      </x:c>
      <x:c r="B300" s="34" t="str">
        <x:v>18354</x:v>
      </x:c>
      <x:c r="C300" s="34" t="str">
        <x:v>A/HRC/60/L.58</x:v>
      </x:c>
      <x:c r="D300" s="34" t="str">
        <x:v>Amendment to draft resolution A/HRC/60/L.12</x:v>
      </x:c>
      <x:c r="E300" s="34" t="str">
        <x:v>Singapore</x:v>
      </x:c>
      <x:c r="F300" s="34" t="n">
        <x:v>45931.44652777778</x:v>
      </x:c>
      <x:c r="G300" s="34" t="str"/>
      <x:c r="H300" s="34" t="str">
        <x:v>tabled; no final resolution shown</x:v>
      </x:c>
      <x:c r="I300" s="34" t="str">
        <x:v>Rejected by a recorded vote - 13-25-9</x:v>
      </x:c>
      <x:c r="J300" s="34" t="str">
        <x:v>https://hrcportal.ohchr.org/draft-resolutions?sessionID=18354&amp;page=5</x:v>
      </x:c>
    </x:row>
    <x:row r="301" ht="42" customHeight="1">
      <x:c r="A301" s="35" t="str">
        <x:v>60</x:v>
      </x:c>
      <x:c r="B301" s="35" t="str">
        <x:v>18354</x:v>
      </x:c>
      <x:c r="C301" s="35" t="str">
        <x:v>A/HRC/60/L.59</x:v>
      </x:c>
      <x:c r="D301" s="35" t="str">
        <x:v>Amendment to draft resolution A/HRC/60/L.12</x:v>
      </x:c>
      <x:c r="E301" s="35" t="str">
        <x:v>Singapore</x:v>
      </x:c>
      <x:c r="F301" s="35" t="n">
        <x:v>45931.447222222225</x:v>
      </x:c>
      <x:c r="G301" s="35" t="str"/>
      <x:c r="H301" s="35" t="str">
        <x:v>tabled; no final resolution shown</x:v>
      </x:c>
      <x:c r="I301" s="35" t="str">
        <x:v>Rejected by a recorded vote - 11-26-9</x:v>
      </x:c>
      <x:c r="J301" s="35" t="str">
        <x:v>https://hrcportal.ohchr.org/draft-resolutions?sessionID=18354&amp;page=5</x:v>
      </x:c>
    </x:row>
    <x:row r="302" ht="42" customHeight="1">
      <x:c r="A302" s="34" t="str">
        <x:v>60</x:v>
      </x:c>
      <x:c r="B302" s="34" t="str">
        <x:v>18354</x:v>
      </x:c>
      <x:c r="C302" s="34" t="str">
        <x:v>A/HRC/60/L.6</x:v>
      </x:c>
      <x:c r="D302" s="34" t="str">
        <x:v>Arbitrary detention</x:v>
      </x:c>
      <x:c r="E302" s="34" t="str">
        <x:v>France</x:v>
      </x:c>
      <x:c r="F302" s="34" t="n">
        <x:v>45923.379166666666</x:v>
      </x:c>
      <x:c r="G302" s="34" t="str">
        <x:v>A/HRC/RES/60/8</x:v>
      </x:c>
      <x:c r="H302" s="34" t="str">
        <x:v>adopted</x:v>
      </x:c>
      <x:c r="I302" s="34" t="str">
        <x:v>Adopted without a vote</x:v>
      </x:c>
      <x:c r="J302" s="34" t="str">
        <x:v>https://hrcportal.ohchr.org/draft-resolutions?sessionID=18354&amp;page=0</x:v>
      </x:c>
    </x:row>
    <x:row r="303" ht="42" customHeight="1">
      <x:c r="A303" s="35" t="str">
        <x:v>60</x:v>
      </x:c>
      <x:c r="B303" s="35" t="str">
        <x:v>18354</x:v>
      </x:c>
      <x:c r="C303" s="35" t="str">
        <x:v>A/HRC/60/L.60</x:v>
      </x:c>
      <x:c r="D303" s="35" t="str">
        <x:v>Amendment to draft resolution A/HRC/60/L.38/Rev.1</x:v>
      </x:c>
      <x:c r="E303" s="35" t="str">
        <x:v>Türkiye</x:v>
      </x:c>
      <x:c r="F303" s="35" t="n">
        <x:v>45931.447916666664</x:v>
      </x:c>
      <x:c r="G303" s="35" t="str"/>
      <x:c r="H303" s="35" t="str">
        <x:v>withdrawn</x:v>
      </x:c>
      <x:c r="I303" s="35" t="str">
        <x:v>Withdrawn by sponsor(s)</x:v>
      </x:c>
      <x:c r="J303" s="35" t="str">
        <x:v>https://hrcportal.ohchr.org/draft-resolutions?sessionID=18354&amp;page=5</x:v>
      </x:c>
    </x:row>
    <x:row r="304" ht="42" customHeight="1">
      <x:c r="A304" s="34" t="str">
        <x:v>60</x:v>
      </x:c>
      <x:c r="B304" s="34" t="str">
        <x:v>18354</x:v>
      </x:c>
      <x:c r="C304" s="34" t="str">
        <x:v>A/HRC/60/L.61</x:v>
      </x:c>
      <x:c r="D304" s="34" t="str">
        <x:v>Amendment to draft resolution A/HRC/60/L.38/Rev.1</x:v>
      </x:c>
      <x:c r="E304" s="34" t="str">
        <x:v>Türkiye</x:v>
      </x:c>
      <x:c r="F304" s="34" t="n">
        <x:v>45931.44861111111</x:v>
      </x:c>
      <x:c r="G304" s="34" t="str"/>
      <x:c r="H304" s="34" t="str">
        <x:v>withdrawn</x:v>
      </x:c>
      <x:c r="I304" s="34" t="str">
        <x:v>Withdrawn by sponsor(s)</x:v>
      </x:c>
      <x:c r="J304" s="34" t="str">
        <x:v>https://hrcportal.ohchr.org/draft-resolutions?sessionID=18354&amp;page=6</x:v>
      </x:c>
    </x:row>
    <x:row r="305" ht="42" customHeight="1">
      <x:c r="A305" s="35" t="str">
        <x:v>60</x:v>
      </x:c>
      <x:c r="B305" s="35" t="str">
        <x:v>18354</x:v>
      </x:c>
      <x:c r="C305" s="35" t="str">
        <x:v>A/HRC/60/L.62</x:v>
      </x:c>
      <x:c r="D305" s="35" t="str">
        <x:v>Non-cooperation of a State under review with the universal periodic review mechanism</x:v>
      </x:c>
      <x:c r="E305" s="35" t="str">
        <x:v>President of the Human Rights Council</x:v>
      </x:c>
      <x:c r="F305" s="35" t="n">
        <x:v>45931.666666666664</x:v>
      </x:c>
      <x:c r="G305" s="35" t="str"/>
      <x:c r="H305" s="35" t="str">
        <x:v>tabled; no final resolution shown</x:v>
      </x:c>
      <x:c r="I305" s="35" t="str">
        <x:v>Adopted without a vote</x:v>
      </x:c>
      <x:c r="J305" s="35" t="str">
        <x:v>https://hrcportal.ohchr.org/draft-resolutions?sessionID=18354&amp;page=6</x:v>
      </x:c>
    </x:row>
    <x:row r="306" ht="42" customHeight="1">
      <x:c r="A306" s="34" t="str">
        <x:v>60</x:v>
      </x:c>
      <x:c r="B306" s="34" t="str">
        <x:v>18354</x:v>
      </x:c>
      <x:c r="C306" s="34" t="str">
        <x:v>A/HRC/60/L.7</x:v>
      </x:c>
      <x:c r="D306" s="34" t="str">
        <x:v>Reports of the Advisory Committee</x:v>
      </x:c>
      <x:c r="E306" s="34" t="str">
        <x:v>President of the Human Rights Council</x:v>
      </x:c>
      <x:c r="F306" s="34" t="n">
        <x:v>45923.53888888889</x:v>
      </x:c>
      <x:c r="G306" s="34" t="str"/>
      <x:c r="H306" s="34" t="str">
        <x:v>tabled; no final resolution shown</x:v>
      </x:c>
      <x:c r="I306" s="34" t="str">
        <x:v>Adopted without a vote</x:v>
      </x:c>
      <x:c r="J306" s="34" t="str">
        <x:v>https://hrcportal.ohchr.org/draft-resolutions?sessionID=18354&amp;page=0</x:v>
      </x:c>
    </x:row>
    <x:row r="307" ht="42" customHeight="1">
      <x:c r="A307" s="35" t="str">
        <x:v>60</x:v>
      </x:c>
      <x:c r="B307" s="35" t="str">
        <x:v>18354</x:v>
      </x:c>
      <x:c r="C307" s="35" t="str">
        <x:v>A/HRC/60/L.8</x:v>
      </x:c>
      <x:c r="D307" s="35" t="str">
        <x:v>Special Rapporteur on contemporary forms of slavery and trafficking in persons</x:v>
      </x:c>
      <x:c r="E307" s="35" t="str">
        <x:v>United Kingdom of Great Britain and Northern Ireland, Argentina, Australia, Germany, Jordan, Philippines</x:v>
      </x:c>
      <x:c r="F307" s="35" t="n">
        <x:v>45923.498611111114</x:v>
      </x:c>
      <x:c r="G307" s="35" t="str">
        <x:v>A/HRC/RES/60/25</x:v>
      </x:c>
      <x:c r="H307" s="35" t="str">
        <x:v>adopted</x:v>
      </x:c>
      <x:c r="I307" s="35" t="str">
        <x:v>Adopted without a vote</x:v>
      </x:c>
      <x:c r="J307" s="35" t="str">
        <x:v>https://hrcportal.ohchr.org/draft-resolutions?sessionID=18354&amp;page=0</x:v>
      </x:c>
    </x:row>
    <x:row r="308" ht="42" customHeight="1">
      <x:c r="A308" s="34" t="str">
        <x:v>60</x:v>
      </x:c>
      <x:c r="B308" s="34" t="str">
        <x:v>18354</x:v>
      </x:c>
      <x:c r="C308" s="34" t="str">
        <x:v>A/HRC/60/L.9</x:v>
      </x:c>
      <x:c r="D308" s="34" t="str">
        <x:v>Situation of human rights in Afghanistan</x:v>
      </x:c>
      <x:c r="E308" s="34" t="str">
        <x:v>Denmark (on behalf of the European Union)</x:v>
      </x:c>
      <x:c r="F308" s="34" t="n">
        <x:v>45923.635416666664</x:v>
      </x:c>
      <x:c r="G308" s="34" t="str">
        <x:v>A/HRC/RES/60/2</x:v>
      </x:c>
      <x:c r="H308" s="34" t="str">
        <x:v>adopted</x:v>
      </x:c>
      <x:c r="I308" s="34" t="str">
        <x:v>Adopted without a vote</x:v>
      </x:c>
      <x:c r="J308" s="34" t="str">
        <x:v>https://hrcportal.ohchr.org/draft-resolutions?sessionID=18354&amp;page=0</x:v>
      </x:c>
    </x:row>
    <x:row r="309" ht="42" customHeight="1">
      <x:c r="A309" s="35" t="str">
        <x:v>61</x:v>
      </x:c>
      <x:c r="B309" s="35" t="str">
        <x:v>6452</x:v>
      </x:c>
      <x:c r="C309" s="35" t="str">
        <x:v>A/HRC/61/L.1</x:v>
      </x:c>
      <x:c r="D309" s="35" t="str">
        <x:v>Cooperation with regional human rights organizations</x:v>
      </x:c>
      <x:c r="E309" s="35" t="str">
        <x:v>Belgium, Armenia, Colombia, Senegal, Thailand</x:v>
      </x:c>
      <x:c r="F309" s="35" t="n">
        <x:v>46085.39791666667</x:v>
      </x:c>
      <x:c r="G309" s="35" t="str">
        <x:v>A/HRC/RES/61/5</x:v>
      </x:c>
      <x:c r="H309" s="35" t="str">
        <x:v>adopted</x:v>
      </x:c>
      <x:c r="I309" s="35" t="str">
        <x:v>Adopted without a vote</x:v>
      </x:c>
      <x:c r="J309" s="35" t="str">
        <x:v>https://hrcportal.ohchr.org/draft-resolutions?sessionID=6452&amp;page=0</x:v>
      </x:c>
    </x:row>
    <x:row r="310" ht="42" customHeight="1">
      <x:c r="A310" s="34" t="str">
        <x:v>61</x:v>
      </x:c>
      <x:c r="B310" s="34" t="str">
        <x:v>6452</x:v>
      </x:c>
      <x:c r="C310" s="34" t="str">
        <x:v>A/HRC/61/L.10</x:v>
      </x:c>
      <x:c r="D310" s="34" t="str">
        <x:v>Torture and other cruel, inhuman or degrading treatment or punishment: mandate of the Special Rapporteur</x:v>
      </x:c>
      <x:c r="E310" s="34" t="str">
        <x:v>Denmark</x:v>
      </x:c>
      <x:c r="F310" s="34" t="n">
        <x:v>46097.53125</x:v>
      </x:c>
      <x:c r="G310" s="34" t="str">
        <x:v>A/HRC/RES/61/10</x:v>
      </x:c>
      <x:c r="H310" s="34" t="str">
        <x:v>adopted</x:v>
      </x:c>
      <x:c r="I310" s="34" t="str">
        <x:v>Adopted without a vote A/HRC/61/L.10 Oral Revision</x:v>
      </x:c>
      <x:c r="J310" s="34" t="str">
        <x:v>https://hrcportal.ohchr.org/draft-resolutions?sessionID=6452&amp;page=0</x:v>
      </x:c>
    </x:row>
    <x:row r="311" ht="42" customHeight="1">
      <x:c r="A311" s="35" t="str">
        <x:v>61</x:v>
      </x:c>
      <x:c r="B311" s="35" t="str">
        <x:v>6452</x:v>
      </x:c>
      <x:c r="C311" s="35" t="str">
        <x:v>A/HRC/61/L.11</x:v>
      </x:c>
      <x:c r="D311" s="35" t="str">
        <x:v>Mandate of Independent Expert on the effects of foreign debt and other related international financial obligations of States on the full enjoyment of all human rights, particularly economic, social and cultural rights</x:v>
      </x:c>
      <x:c r="E311" s="35" t="str">
        <x:v>Cuba</x:v>
      </x:c>
      <x:c r="F311" s="35" t="n">
        <x:v>46098.25</x:v>
      </x:c>
      <x:c r="G311" s="35" t="str">
        <x:v>A/HRC/RES/61/11</x:v>
      </x:c>
      <x:c r="H311" s="35" t="str">
        <x:v>adopted</x:v>
      </x:c>
      <x:c r="I311" s="35" t="str">
        <x:v>Adopted vote 29-10-8</x:v>
      </x:c>
      <x:c r="J311" s="35" t="str">
        <x:v>https://hrcportal.ohchr.org/draft-resolutions?sessionID=6452&amp;page=1</x:v>
      </x:c>
    </x:row>
    <x:row r="312" ht="42" customHeight="1">
      <x:c r="A312" s="34" t="str">
        <x:v>61</x:v>
      </x:c>
      <x:c r="B312" s="34" t="str">
        <x:v>6452</x:v>
      </x:c>
      <x:c r="C312" s="34" t="str">
        <x:v>A/HRC/61/L.12</x:v>
      </x:c>
      <x:c r="D312" s="34" t="str">
        <x:v>Promotion of the enjoyment of the cultural rights of everyone and respect for cultural diversity</x:v>
      </x:c>
      <x:c r="E312" s="34" t="str">
        <x:v>Cuba</x:v>
      </x:c>
      <x:c r="F312" s="34" t="n">
        <x:v>46098.25069444445</x:v>
      </x:c>
      <x:c r="G312" s="34" t="str">
        <x:v>A/HRC/RES/61/12</x:v>
      </x:c>
      <x:c r="H312" s="34" t="str">
        <x:v>adopted</x:v>
      </x:c>
      <x:c r="I312" s="34" t="str">
        <x:v>Adopted without a vote</x:v>
      </x:c>
      <x:c r="J312" s="34" t="str">
        <x:v>https://hrcportal.ohchr.org/draft-resolutions?sessionID=6452&amp;page=1</x:v>
      </x:c>
    </x:row>
    <x:row r="313" ht="42" customHeight="1">
      <x:c r="A313" s="35" t="str">
        <x:v>61</x:v>
      </x:c>
      <x:c r="B313" s="35" t="str">
        <x:v>6452</x:v>
      </x:c>
      <x:c r="C313" s="35" t="str">
        <x:v>A/HRC/61/L.13</x:v>
      </x:c>
      <x:c r="D313" s="35" t="str">
        <x:v>The right to food</x:v>
      </x:c>
      <x:c r="E313" s="35" t="str">
        <x:v>Cuba</x:v>
      </x:c>
      <x:c r="F313" s="35" t="n">
        <x:v>46098.25208333333</x:v>
      </x:c>
      <x:c r="G313" s="35" t="str">
        <x:v>A/HRC/RES/61/13</x:v>
      </x:c>
      <x:c r="H313" s="35" t="str">
        <x:v>adopted</x:v>
      </x:c>
      <x:c r="I313" s="35" t="str">
        <x:v>Adopted without a vote</x:v>
      </x:c>
      <x:c r="J313" s="35" t="str">
        <x:v>https://hrcportal.ohchr.org/draft-resolutions?sessionID=6452&amp;page=1</x:v>
      </x:c>
    </x:row>
    <x:row r="314" ht="42" customHeight="1">
      <x:c r="A314" s="34" t="str">
        <x:v>61</x:v>
      </x:c>
      <x:c r="B314" s="34" t="str">
        <x:v>6452</x:v>
      </x:c>
      <x:c r="C314" s="34" t="str">
        <x:v>A/HRC/61/L.14</x:v>
      </x:c>
      <x:c r="D314" s="34" t="str">
        <x:v>Situation of human rights in Belarus</x:v>
      </x:c>
      <x:c r="E314" s="34" t="str">
        <x:v>Cyprus (on behalf of the European Union)</x:v>
      </x:c>
      <x:c r="F314" s="34" t="n">
        <x:v>46098.35277777778</x:v>
      </x:c>
      <x:c r="G314" s="34" t="str">
        <x:v>A/HRC/RES/61/26</x:v>
      </x:c>
      <x:c r="H314" s="34" t="str">
        <x:v>adopted</x:v>
      </x:c>
      <x:c r="I314" s="34" t="str">
        <x:v>Adopted as orally revised vote 28-4-15 A/HRC/61/L.14 Oral Revision</x:v>
      </x:c>
      <x:c r="J314" s="34" t="str">
        <x:v>https://hrcportal.ohchr.org/draft-resolutions?sessionID=6452&amp;page=1</x:v>
      </x:c>
    </x:row>
    <x:row r="315" ht="42" customHeight="1">
      <x:c r="A315" s="35" t="str">
        <x:v>61</x:v>
      </x:c>
      <x:c r="B315" s="35" t="str">
        <x:v>6452</x:v>
      </x:c>
      <x:c r="C315" s="35" t="str">
        <x:v>A/HRC/61/L.15</x:v>
      </x:c>
      <x:c r="D315" s="35" t="str">
        <x:v>Situation of human rights in the Democratic People’s Republic of Korea</x:v>
      </x:c>
      <x:c r="E315" s="35" t="str">
        <x:v>Cyprus (on behalf of the European Union), Australia</x:v>
      </x:c>
      <x:c r="F315" s="35" t="n">
        <x:v>46098.35277777778</x:v>
      </x:c>
      <x:c r="G315" s="35" t="str">
        <x:v>A/HRC/RES/61/27</x:v>
      </x:c>
      <x:c r="H315" s="35" t="str">
        <x:v>adopted</x:v>
      </x:c>
      <x:c r="I315" s="35" t="str">
        <x:v>Adopted without a vote A/HRC/61/L.15 Oral Revision</x:v>
      </x:c>
      <x:c r="J315" s="35" t="str">
        <x:v>https://hrcportal.ohchr.org/draft-resolutions?sessionID=6452&amp;page=1</x:v>
      </x:c>
    </x:row>
    <x:row r="316" ht="42" customHeight="1">
      <x:c r="A316" s="34" t="str">
        <x:v>61</x:v>
      </x:c>
      <x:c r="B316" s="34" t="str">
        <x:v>6452</x:v>
      </x:c>
      <x:c r="C316" s="34" t="str">
        <x:v>A/HRC/61/L.16/Rev.1</x:v>
      </x:c>
      <x:c r="D316" s="34" t="str">
        <x:v>Freedom of opinion and expression: mandate of Special Rapporteur on the promotion and protection of the right to freedom of opinion and expression</x:v>
      </x:c>
      <x:c r="E316" s="34" t="str">
        <x:v>Canada, Netherlands (Kingdom of the)</x:v>
      </x:c>
      <x:c r="F316" s="34" t="n">
        <x:v>46105.32013888889</x:v>
      </x:c>
      <x:c r="G316" s="34" t="str">
        <x:v>A/HRC/RES/61/14</x:v>
      </x:c>
      <x:c r="H316" s="34" t="str">
        <x:v>adopted</x:v>
      </x:c>
      <x:c r="I316" s="34" t="str">
        <x:v>Adopted without a vote</x:v>
      </x:c>
      <x:c r="J316" s="34" t="str">
        <x:v>https://hrcportal.ohchr.org/draft-resolutions?sessionID=6452&amp;page=1</x:v>
      </x:c>
    </x:row>
    <x:row r="317" ht="42" customHeight="1">
      <x:c r="A317" s="35" t="str">
        <x:v>61</x:v>
      </x:c>
      <x:c r="B317" s="35" t="str">
        <x:v>6452</x:v>
      </x:c>
      <x:c r="C317" s="35" t="str">
        <x:v>A/HRC/61/L.17</x:v>
      </x:c>
      <x:c r="D317" s="35" t="str">
        <x:v>Situation of human rights in Ukraine stemming from the Russian aggression</x:v>
      </x:c>
      <x:c r="E317" s="35" t="str">
        <x:v>Ukraine</x:v>
      </x:c>
      <x:c r="F317" s="35" t="n">
        <x:v>46097.438888888886</x:v>
      </x:c>
      <x:c r="G317" s="35" t="str">
        <x:v>A/HRC/RES/61/29</x:v>
      </x:c>
      <x:c r="H317" s="35" t="str">
        <x:v>adopted</x:v>
      </x:c>
      <x:c r="I317" s="35" t="str">
        <x:v>Adopted vote 25-4-18</x:v>
      </x:c>
      <x:c r="J317" s="35" t="str">
        <x:v>https://hrcportal.ohchr.org/draft-resolutions?sessionID=6452&amp;page=1</x:v>
      </x:c>
    </x:row>
    <x:row r="318" ht="42" customHeight="1">
      <x:c r="A318" s="34" t="str">
        <x:v>61</x:v>
      </x:c>
      <x:c r="B318" s="34" t="str">
        <x:v>6452</x:v>
      </x:c>
      <x:c r="C318" s="34" t="str">
        <x:v>A/HRC/61/L.18</x:v>
      </x:c>
      <x:c r="D318" s="34" t="str">
        <x:v>Promoting human rights and the Sustainable Development Goals through transparent, accountable and efficient public service delivery</x:v>
      </x:c>
      <x:c r="E318" s="34" t="str">
        <x:v>Azerbaijan, Ecuador, Georgia, Kenya, Malaysia, Thailand, Türkiye</x:v>
      </x:c>
      <x:c r="F318" s="34" t="n">
        <x:v>46098.44513888889</x:v>
      </x:c>
      <x:c r="G318" s="34" t="str">
        <x:v>A/HRC/RES/61/19</x:v>
      </x:c>
      <x:c r="H318" s="34" t="str">
        <x:v>adopted</x:v>
      </x:c>
      <x:c r="I318" s="34" t="str">
        <x:v>Adopted without a vote</x:v>
      </x:c>
      <x:c r="J318" s="34" t="str">
        <x:v>https://hrcportal.ohchr.org/draft-resolutions?sessionID=6452&amp;page=1</x:v>
      </x:c>
    </x:row>
    <x:row r="319" ht="42" customHeight="1">
      <x:c r="A319" s="35" t="str">
        <x:v>61</x:v>
      </x:c>
      <x:c r="B319" s="35" t="str">
        <x:v>6452</x:v>
      </x:c>
      <x:c r="C319" s="35" t="str">
        <x:v>A/HRC/61/L.19</x:v>
      </x:c>
      <x:c r="D319" s="35" t="str">
        <x:v>Advancing human rights in South Sudan</x:v>
      </x:c>
      <x:c r="E319" s="35" t="str">
        <x:v>United Kingdom of Great Britain and Northern Ireland, Norway, Albania, Ireland</x:v>
      </x:c>
      <x:c r="F319" s="35" t="n">
        <x:v>46098.478472222225</x:v>
      </x:c>
      <x:c r="G319" s="35" t="str">
        <x:v>A/HRC/RES/61/2</x:v>
      </x:c>
      <x:c r="H319" s="35" t="str">
        <x:v>adopted</x:v>
      </x:c>
      <x:c r="I319" s="35" t="str">
        <x:v>Adopted vote 25-4-18</x:v>
      </x:c>
      <x:c r="J319" s="35" t="str">
        <x:v>https://hrcportal.ohchr.org/draft-resolutions?sessionID=6452&amp;page=1</x:v>
      </x:c>
    </x:row>
    <x:row r="320" ht="42" customHeight="1">
      <x:c r="A320" s="34" t="str">
        <x:v>61</x:v>
      </x:c>
      <x:c r="B320" s="34" t="str">
        <x:v>6452</x:v>
      </x:c>
      <x:c r="C320" s="34" t="str">
        <x:v>A/HRC/61/L.2</x:v>
      </x:c>
      <x:c r="D320" s="34" t="str">
        <x:v>The negative impact of unilateral coercive measures on the enjoyment of human rights</x:v>
      </x:c>
      <x:c r="E320" s="34" t="str">
        <x:v>Uganda (on behalf of the Movement of Non-Aligned Countries)</x:v>
      </x:c>
      <x:c r="F320" s="34" t="n">
        <x:v>46091.38958333333</x:v>
      </x:c>
      <x:c r="G320" s="34" t="str">
        <x:v>A/HRC/RES/61/6</x:v>
      </x:c>
      <x:c r="H320" s="34" t="str">
        <x:v>adopted</x:v>
      </x:c>
      <x:c r="I320" s="34" t="str">
        <x:v>Adopted vote 28-17-1</x:v>
      </x:c>
      <x:c r="J320" s="34" t="str">
        <x:v>https://hrcportal.ohchr.org/draft-resolutions?sessionID=6452&amp;page=0</x:v>
      </x:c>
    </x:row>
    <x:row r="321" ht="42" customHeight="1">
      <x:c r="A321" s="35" t="str">
        <x:v>61</x:v>
      </x:c>
      <x:c r="B321" s="35" t="str">
        <x:v>6452</x:v>
      </x:c>
      <x:c r="C321" s="35" t="str">
        <x:v>A/HRC/61/L.20/Rev.1</x:v>
      </x:c>
      <x:c r="D321" s="35" t="str">
        <x:v>Rights of persons belonging to national or ethnic, religious and linguistic minorities: mandate of Special Rapporteur on minority issues</x:v>
      </x:c>
      <x:c r="E321" s="35" t="str">
        <x:v>Austria, Slovenia</x:v>
      </x:c>
      <x:c r="F321" s="35" t="n">
        <x:v>46105.33194444444</x:v>
      </x:c>
      <x:c r="G321" s="35" t="str">
        <x:v>A/HRC/RES/61/15</x:v>
      </x:c>
      <x:c r="H321" s="35" t="str">
        <x:v>adopted</x:v>
      </x:c>
      <x:c r="I321" s="35" t="str">
        <x:v>Adopted without a vote</x:v>
      </x:c>
      <x:c r="J321" s="35" t="str">
        <x:v>https://hrcportal.ohchr.org/draft-resolutions?sessionID=6452&amp;page=1</x:v>
      </x:c>
    </x:row>
    <x:row r="322" ht="42" customHeight="1">
      <x:c r="A322" s="34" t="str">
        <x:v>61</x:v>
      </x:c>
      <x:c r="B322" s="34" t="str">
        <x:v>6452</x:v>
      </x:c>
      <x:c r="C322" s="34" t="str">
        <x:v>A/HRC/61/L.21</x:v>
      </x:c>
      <x:c r="D322" s="34" t="str">
        <x:v>Adequate housing as a component of the right to an adequate standard of living, and the right to non-discrimination in this context</x:v>
      </x:c>
      <x:c r="E322" s="34" t="str">
        <x:v>Germany, Brazil, Finland, Namibia</x:v>
      </x:c>
      <x:c r="F322" s="34" t="n">
        <x:v>46098.53402777778</x:v>
      </x:c>
      <x:c r="G322" s="34" t="str">
        <x:v>A/HRC/RES/61/16</x:v>
      </x:c>
      <x:c r="H322" s="34" t="str">
        <x:v>adopted</x:v>
      </x:c>
      <x:c r="I322" s="34" t="str">
        <x:v>Adopted without a vote</x:v>
      </x:c>
      <x:c r="J322" s="34" t="str">
        <x:v>https://hrcportal.ohchr.org/draft-resolutions?sessionID=6452&amp;page=2</x:v>
      </x:c>
    </x:row>
    <x:row r="323" ht="42" customHeight="1">
      <x:c r="A323" s="35" t="str">
        <x:v>61</x:v>
      </x:c>
      <x:c r="B323" s="35" t="str">
        <x:v>6452</x:v>
      </x:c>
      <x:c r="C323" s="35" t="str">
        <x:v>A/HRC/61/L.22</x:v>
      </x:c>
      <x:c r="D323" s="35" t="str">
        <x:v>Human rights of migrants: mandate of Special Rapporteur on the human rights of migrants</x:v>
      </x:c>
      <x:c r="E323" s="35" t="str">
        <x:v>Mexico</x:v>
      </x:c>
      <x:c r="F323" s="35" t="n">
        <x:v>46098.540972222225</x:v>
      </x:c>
      <x:c r="G323" s="35" t="str">
        <x:v>A/HRC/RES/61/17</x:v>
      </x:c>
      <x:c r="H323" s="35" t="str">
        <x:v>adopted</x:v>
      </x:c>
      <x:c r="I323" s="35" t="str">
        <x:v>Adopted without a vote</x:v>
      </x:c>
      <x:c r="J323" s="35" t="str">
        <x:v>https://hrcportal.ohchr.org/draft-resolutions?sessionID=6452&amp;page=2</x:v>
      </x:c>
    </x:row>
    <x:row r="324" ht="42" customHeight="1">
      <x:c r="A324" s="34" t="str">
        <x:v>61</x:v>
      </x:c>
      <x:c r="B324" s="34" t="str">
        <x:v>6452</x:v>
      </x:c>
      <x:c r="C324" s="34" t="str">
        <x:v>A/HRC/61/L.23/Rev.1</x:v>
      </x:c>
      <x:c r="D324" s="34" t="str">
        <x:v>Mental health and human rights</x:v>
      </x:c>
      <x:c r="E324" s="34" t="str">
        <x:v>Portugal, Brazil</x:v>
      </x:c>
      <x:c r="F324" s="34" t="n">
        <x:v>46105.26458333333</x:v>
      </x:c>
      <x:c r="G324" s="34" t="str">
        <x:v>A/HRC/RES/61/18</x:v>
      </x:c>
      <x:c r="H324" s="34" t="str">
        <x:v>adopted</x:v>
      </x:c>
      <x:c r="I324" s="34" t="str">
        <x:v>Adopted without a vote</x:v>
      </x:c>
      <x:c r="J324" s="34" t="str">
        <x:v>https://hrcportal.ohchr.org/draft-resolutions?sessionID=6452&amp;page=2</x:v>
      </x:c>
    </x:row>
    <x:row r="325" ht="42" customHeight="1">
      <x:c r="A325" s="35" t="str">
        <x:v>61</x:v>
      </x:c>
      <x:c r="B325" s="35" t="str">
        <x:v>6452</x:v>
      </x:c>
      <x:c r="C325" s="35" t="str">
        <x:v>A/HRC/61/L.24/Rev.1</x:v>
      </x:c>
      <x:c r="D325" s="35" t="str">
        <x:v>Situation of human rights in Myanmar</x:v>
      </x:c>
      <x:c r="E325" s="35" t="str">
        <x:v>Cyprus (on behalf of the European Union)</x:v>
      </x:c>
      <x:c r="F325" s="35" t="n">
        <x:v>46105.25</x:v>
      </x:c>
      <x:c r="G325" s="35" t="str">
        <x:v>A/HRC/RES/61/30</x:v>
      </x:c>
      <x:c r="H325" s="35" t="str">
        <x:v>adopted</x:v>
      </x:c>
      <x:c r="I325" s="35" t="str">
        <x:v>Adopted without a vote</x:v>
      </x:c>
      <x:c r="J325" s="35" t="str">
        <x:v>https://hrcportal.ohchr.org/draft-resolutions?sessionID=6452&amp;page=2</x:v>
      </x:c>
    </x:row>
    <x:row r="326" ht="42" customHeight="1">
      <x:c r="A326" s="34" t="str">
        <x:v>61</x:v>
      </x:c>
      <x:c r="B326" s="34" t="str">
        <x:v>6452</x:v>
      </x:c>
      <x:c r="C326" s="34" t="str">
        <x:v>A/HRC/61/L.25</x:v>
      </x:c>
      <x:c r="D326" s="34" t="str">
        <x:v>Supporting human rights in the Syrian Arab Republic</x:v>
      </x:c>
      <x:c r="E326" s="34" t="str">
        <x:v>United Kingdom of Great Britain and Northern Ireland, France, Germany, Netherlands (Kingdom of the), Qatar, Türkiye</x:v>
      </x:c>
      <x:c r="F326" s="34" t="n">
        <x:v>46098.57708333333</x:v>
      </x:c>
      <x:c r="G326" s="34" t="str">
        <x:v>A/HRC/RES/61/3</x:v>
      </x:c>
      <x:c r="H326" s="34" t="str">
        <x:v>adopted</x:v>
      </x:c>
      <x:c r="I326" s="34" t="str">
        <x:v>Adopted without a vote</x:v>
      </x:c>
      <x:c r="J326" s="34" t="str">
        <x:v>https://hrcportal.ohchr.org/draft-resolutions?sessionID=6452&amp;page=2</x:v>
      </x:c>
    </x:row>
    <x:row r="327" ht="42" customHeight="1">
      <x:c r="A327" s="35" t="str">
        <x:v>61</x:v>
      </x:c>
      <x:c r="B327" s="35" t="str">
        <x:v>6452</x:v>
      </x:c>
      <x:c r="C327" s="35" t="str">
        <x:v>A/HRC/61/L.26</x:v>
      </x:c>
      <x:c r="D327" s="35" t="str">
        <x:v>Human rights of persons in street situations</x:v>
      </x:c>
      <x:c r="E327" s="35" t="str">
        <x:v>Brazil, Cabo Verde, Dominican Republic</x:v>
      </x:c>
      <x:c r="F327" s="35" t="n">
        <x:v>46099.25</x:v>
      </x:c>
      <x:c r="G327" s="35" t="str">
        <x:v>A/HRC/RES/61/20</x:v>
      </x:c>
      <x:c r="H327" s="35" t="str">
        <x:v>adopted</x:v>
      </x:c>
      <x:c r="I327" s="35" t="str">
        <x:v>Adopted without a vote</x:v>
      </x:c>
      <x:c r="J327" s="35" t="str">
        <x:v>https://hrcportal.ohchr.org/draft-resolutions?sessionID=6452&amp;page=2</x:v>
      </x:c>
    </x:row>
    <x:row r="328" ht="42" customHeight="1">
      <x:c r="A328" s="34" t="str">
        <x:v>61</x:v>
      </x:c>
      <x:c r="B328" s="34" t="str">
        <x:v>6452</x:v>
      </x:c>
      <x:c r="C328" s="34" t="str">
        <x:v>A/HRC/61/L.27/Rev.1</x:v>
      </x:c>
      <x:c r="D328" s="34" t="str">
        <x:v>Rights of the child: realizing the rights of the child affected by armed conflict</x:v>
      </x:c>
      <x:c r="E328" s="34" t="str">
        <x:v>Uruguay (on behalf of Group of Latin American and Caribbean States (except Argentina and Paraguay)), Cyprus (on behalf of European Union)</x:v>
      </x:c>
      <x:c r="F328" s="34" t="n">
        <x:v>46105.333333333336</x:v>
      </x:c>
      <x:c r="G328" s="34" t="str">
        <x:v>A/HRC/RES/61/21</x:v>
      </x:c>
      <x:c r="H328" s="34" t="str">
        <x:v>adopted</x:v>
      </x:c>
      <x:c r="I328" s="34" t="str">
        <x:v>Adopted without a vote A/HRC/61/L.27 Oral Revision</x:v>
      </x:c>
      <x:c r="J328" s="34" t="str">
        <x:v>https://hrcportal.ohchr.org/draft-resolutions?sessionID=6452&amp;page=2</x:v>
      </x:c>
    </x:row>
    <x:row r="329" ht="42" customHeight="1">
      <x:c r="A329" s="35" t="str">
        <x:v>61</x:v>
      </x:c>
      <x:c r="B329" s="35" t="str">
        <x:v>6452</x:v>
      </x:c>
      <x:c r="C329" s="35" t="str">
        <x:v>A/HRC/61/L.28</x:v>
      </x:c>
      <x:c r="D329" s="35" t="str">
        <x:v>Promotion and protection of human rights and the implementation of the 2030 Agenda for Sustainable Development</x:v>
      </x:c>
      <x:c r="E329" s="35" t="str">
        <x:v>Ecuador, Azerbaijan, Brazil, Chile, Fiji, Luxembourg, Portugal, Rwanda, Sierra Leone, Thailand, Uruguay</x:v>
      </x:c>
      <x:c r="F329" s="35" t="n">
        <x:v>46099.251388888886</x:v>
      </x:c>
      <x:c r="G329" s="35" t="str">
        <x:v>A/HRC/RES/61/28</x:v>
      </x:c>
      <x:c r="H329" s="35" t="str">
        <x:v>adopted</x:v>
      </x:c>
      <x:c r="I329" s="35" t="str">
        <x:v>Adopted without a vote A/HRC/61/L.28 Oral Revision</x:v>
      </x:c>
      <x:c r="J329" s="35" t="str">
        <x:v>https://hrcportal.ohchr.org/draft-resolutions?sessionID=6452&amp;page=2</x:v>
      </x:c>
    </x:row>
    <x:row r="330" ht="42" customHeight="1">
      <x:c r="A330" s="34" t="str">
        <x:v>61</x:v>
      </x:c>
      <x:c r="B330" s="34" t="str">
        <x:v>6452</x:v>
      </x:c>
      <x:c r="C330" s="34" t="str">
        <x:v>A/HRC/61/L.29/Rev.1</x:v>
      </x:c>
      <x:c r="D330" s="34" t="str">
        <x:v>Mandate of Special Rapporteur on the situation of human rights defenders</x:v>
      </x:c>
      <x:c r="E330" s="34" t="str">
        <x:v>Norway</x:v>
      </x:c>
      <x:c r="F330" s="34" t="n">
        <x:v>46105.33263888889</x:v>
      </x:c>
      <x:c r="G330" s="34" t="str">
        <x:v>A/HRC/RES/61/22</x:v>
      </x:c>
      <x:c r="H330" s="34" t="str">
        <x:v>adopted</x:v>
      </x:c>
      <x:c r="I330" s="34" t="str">
        <x:v>Adopted without a vote</x:v>
      </x:c>
      <x:c r="J330" s="34" t="str">
        <x:v>https://hrcportal.ohchr.org/draft-resolutions?sessionID=6452&amp;page=2</x:v>
      </x:c>
    </x:row>
    <x:row r="331" ht="42" customHeight="1">
      <x:c r="A331" s="35" t="str">
        <x:v>61</x:v>
      </x:c>
      <x:c r="B331" s="35" t="str">
        <x:v>6452</x:v>
      </x:c>
      <x:c r="C331" s="35" t="str">
        <x:v>A/HRC/61/L.3</x:v>
      </x:c>
      <x:c r="D331" s="35" t="str">
        <x:v>Sixtieth anniversary of the adoption of the International Covenants on Human Rights</x:v>
      </x:c>
      <x:c r="E331" s="35" t="str">
        <x:v>Russian Federation, Belarus, Ethiopia, Mali, Venezuela (Bolivarian Republic of)</x:v>
      </x:c>
      <x:c r="F331" s="35" t="n">
        <x:v>46092.42638888889</x:v>
      </x:c>
      <x:c r="G331" s="35" t="str">
        <x:v>A/HRC/RES/61/7</x:v>
      </x:c>
      <x:c r="H331" s="35" t="str">
        <x:v>adopted</x:v>
      </x:c>
      <x:c r="I331" s="35" t="str">
        <x:v>Adopted vote 26-0-21</x:v>
      </x:c>
      <x:c r="J331" s="35" t="str">
        <x:v>https://hrcportal.ohchr.org/draft-resolutions?sessionID=6452&amp;page=0</x:v>
      </x:c>
    </x:row>
    <x:row r="332" ht="42" customHeight="1">
      <x:c r="A332" s="34" t="str">
        <x:v>61</x:v>
      </x:c>
      <x:c r="B332" s="34" t="str">
        <x:v>6452</x:v>
      </x:c>
      <x:c r="C332" s="34" t="str">
        <x:v>A/HRC/61/L.30</x:v>
      </x:c>
      <x:c r="D332" s="34" t="str">
        <x:v>Prevention of genocide</x:v>
      </x:c>
      <x:c r="E332" s="34" t="str">
        <x:v>Armenia</x:v>
      </x:c>
      <x:c r="F332" s="34" t="n">
        <x:v>46099.31527777778</x:v>
      </x:c>
      <x:c r="G332" s="34" t="str">
        <x:v>A/HRC/RES/61/23</x:v>
      </x:c>
      <x:c r="H332" s="34" t="str">
        <x:v>adopted</x:v>
      </x:c>
      <x:c r="I332" s="34" t="str">
        <x:v>Adopted without a vote</x:v>
      </x:c>
      <x:c r="J332" s="34" t="str">
        <x:v>https://hrcportal.ohchr.org/draft-resolutions?sessionID=6452&amp;page=2</x:v>
      </x:c>
    </x:row>
    <x:row r="333" ht="42" customHeight="1">
      <x:c r="A333" s="35" t="str">
        <x:v>61</x:v>
      </x:c>
      <x:c r="B333" s="35" t="str">
        <x:v>6452</x:v>
      </x:c>
      <x:c r="C333" s="35" t="str">
        <x:v>A/HRC/61/L.31</x:v>
      </x:c>
      <x:c r="D333" s="35" t="str">
        <x:v>Twentieth anniversary of the Human Rights Council</x:v>
      </x:c>
      <x:c r="E333" s="35" t="str">
        <x:v>Kenya (on behalf of Group of African States)</x:v>
      </x:c>
      <x:c r="F333" s="35" t="n">
        <x:v>46099.34375</x:v>
      </x:c>
      <x:c r="G333" s="35" t="str">
        <x:v>A/HRC/RES/61/37</x:v>
      </x:c>
      <x:c r="H333" s="35" t="str">
        <x:v>adopted</x:v>
      </x:c>
      <x:c r="I333" s="35" t="str">
        <x:v>Adopted without a vote</x:v>
      </x:c>
      <x:c r="J333" s="35" t="str">
        <x:v>https://hrcportal.ohchr.org/draft-resolutions?sessionID=6452&amp;page=3</x:v>
      </x:c>
    </x:row>
    <x:row r="334" ht="42" customHeight="1">
      <x:c r="A334" s="34" t="str">
        <x:v>61</x:v>
      </x:c>
      <x:c r="B334" s="34" t="str">
        <x:v>6452</x:v>
      </x:c>
      <x:c r="C334" s="34" t="str">
        <x:v>A/HRC/61/L.32/Rev.1</x:v>
      </x:c>
      <x:c r="D334" s="34" t="str">
        <x:v>Birth registration and the right of everyone to recognition everywhere as a person before the law</x:v>
      </x:c>
      <x:c r="E334" s="34" t="str">
        <x:v>Mexico, Türkiye</x:v>
      </x:c>
      <x:c r="F334" s="34" t="n">
        <x:v>46105.32777777778</x:v>
      </x:c>
      <x:c r="G334" s="34" t="str">
        <x:v>A/HRC/RES/61/24</x:v>
      </x:c>
      <x:c r="H334" s="34" t="str">
        <x:v>adopted</x:v>
      </x:c>
      <x:c r="I334" s="34" t="str">
        <x:v>Adopted without a vote</x:v>
      </x:c>
      <x:c r="J334" s="34" t="str">
        <x:v>https://hrcportal.ohchr.org/draft-resolutions?sessionID=6452&amp;page=3</x:v>
      </x:c>
    </x:row>
    <x:row r="335" ht="42" customHeight="1">
      <x:c r="A335" s="35" t="str">
        <x:v>61</x:v>
      </x:c>
      <x:c r="B335" s="35" t="str">
        <x:v>6452</x:v>
      </x:c>
      <x:c r="C335" s="35" t="str">
        <x:v>A/HRC/61/L.33</x:v>
      </x:c>
      <x:c r="D335" s="35" t="str">
        <x:v>Freedom of religion or belief</x:v>
      </x:c>
      <x:c r="E335" s="35" t="str">
        <x:v>Cyprus (on behalf of the European Union)</x:v>
      </x:c>
      <x:c r="F335" s="35" t="n">
        <x:v>46099.381944444445</x:v>
      </x:c>
      <x:c r="G335" s="35" t="str">
        <x:v>A/HRC/RES/61/25</x:v>
      </x:c>
      <x:c r="H335" s="35" t="str">
        <x:v>adopted</x:v>
      </x:c>
      <x:c r="I335" s="35" t="str">
        <x:v>Adopted without a vote</x:v>
      </x:c>
      <x:c r="J335" s="35" t="str">
        <x:v>https://hrcportal.ohchr.org/draft-resolutions?sessionID=6452&amp;page=3</x:v>
      </x:c>
    </x:row>
    <x:row r="336" ht="42" customHeight="1">
      <x:c r="A336" s="34" t="str">
        <x:v>61</x:v>
      </x:c>
      <x:c r="B336" s="34" t="str">
        <x:v>6452</x:v>
      </x:c>
      <x:c r="C336" s="34" t="str">
        <x:v>A/HRC/61/L.34</x:v>
      </x:c>
      <x:c r="D336" s="34" t="str">
        <x:v>Assistance technique et renforcement des capacités visant à améliorer la situation des droits de l’homme en Haïti, en lien avec la demande des autorités haïtiennes d’une action internationale coordonnée et ciblée</x:v>
      </x:c>
      <x:c r="E336" s="34" t="str">
        <x:v>Haiti</x:v>
      </x:c>
      <x:c r="F336" s="34" t="n">
        <x:v>46100.208333333336</x:v>
      </x:c>
      <x:c r="G336" s="34" t="str">
        <x:v>A/HRC/RES/61/38</x:v>
      </x:c>
      <x:c r="H336" s="34" t="str">
        <x:v>adopted</x:v>
      </x:c>
      <x:c r="I336" s="34" t="str">
        <x:v>Adopted without a vote</x:v>
      </x:c>
      <x:c r="J336" s="34" t="str">
        <x:v>https://hrcportal.ohchr.org/draft-resolutions?sessionID=6452&amp;page=3</x:v>
      </x:c>
    </x:row>
    <x:row r="337" ht="42" customHeight="1">
      <x:c r="A337" s="35" t="str">
        <x:v>61</x:v>
      </x:c>
      <x:c r="B337" s="35" t="str">
        <x:v>6452</x:v>
      </x:c>
      <x:c r="C337" s="35" t="str">
        <x:v>A/HRC/61/L.35/Rev.1</x:v>
      </x:c>
      <x:c r="D337" s="35" t="str">
        <x:v>Human rights situation in the Occupied Palestinian Territory, including East Jerusalem, and the obligation to ensure accountability and justice</x:v>
      </x:c>
      <x:c r="E337" s="35" t="str">
        <x:v>Pakistan (on behalf of the Organization of Islamic Cooperation, except Albania)</x:v>
      </x:c>
      <x:c r="F337" s="35" t="n">
        <x:v>46106.33263888889</x:v>
      </x:c>
      <x:c r="G337" s="35" t="str">
        <x:v>A/HRC/RES/61/4</x:v>
      </x:c>
      <x:c r="H337" s="35" t="str">
        <x:v>adopted</x:v>
      </x:c>
      <x:c r="I337" s="35" t="str">
        <x:v>Adopted vote 24-4-19</x:v>
      </x:c>
      <x:c r="J337" s="35" t="str">
        <x:v>https://hrcportal.ohchr.org/draft-resolutions?sessionID=6452&amp;page=3</x:v>
      </x:c>
    </x:row>
    <x:row r="338" ht="42" customHeight="1">
      <x:c r="A338" s="34" t="str">
        <x:v>61</x:v>
      </x:c>
      <x:c r="B338" s="34" t="str">
        <x:v>6452</x:v>
      </x:c>
      <x:c r="C338" s="34" t="str">
        <x:v>A/HRC/61/L.36</x:v>
      </x:c>
      <x:c r="D338" s="34" t="str">
        <x:v>Israeli settlements in the Occupied Palestinian Territory, including East Jerusalem, and in the occupied Syrian Golan</x:v>
      </x:c>
      <x:c r="E338" s="34" t="str">
        <x:v>Pakistan (on behalf of the Organization of Islamic Cooperation, except Albania)</x:v>
      </x:c>
      <x:c r="F338" s="34" t="n">
        <x:v>46100.39861111111</x:v>
      </x:c>
      <x:c r="G338" s="34" t="str">
        <x:v>A/HRC/RES/61/32</x:v>
      </x:c>
      <x:c r="H338" s="34" t="str">
        <x:v>adopted</x:v>
      </x:c>
      <x:c r="I338" s="34" t="str">
        <x:v>Adopted vote 34-3-10 A/HRC/61/L.36 Oral Revision</x:v>
      </x:c>
      <x:c r="J338" s="34" t="str">
        <x:v>https://hrcportal.ohchr.org/draft-resolutions?sessionID=6452&amp;page=3</x:v>
      </x:c>
    </x:row>
    <x:row r="339" ht="42" customHeight="1">
      <x:c r="A339" s="35" t="str">
        <x:v>61</x:v>
      </x:c>
      <x:c r="B339" s="35" t="str">
        <x:v>6452</x:v>
      </x:c>
      <x:c r="C339" s="35" t="str">
        <x:v>A/HRC/61/L.37</x:v>
      </x:c>
      <x:c r="D339" s="35" t="str">
        <x:v>Right of the Palestinian people to self-determination</x:v>
      </x:c>
      <x:c r="E339" s="35" t="str">
        <x:v>Pakistan (on behalf of the Organization of Islamic Cooperation)</x:v>
      </x:c>
      <x:c r="F339" s="35" t="n">
        <x:v>46100.399305555555</x:v>
      </x:c>
      <x:c r="G339" s="35" t="str">
        <x:v>A/HRC/RES/61/33</x:v>
      </x:c>
      <x:c r="H339" s="35" t="str">
        <x:v>adopted</x:v>
      </x:c>
      <x:c r="I339" s="35" t="str">
        <x:v>Adopted vote 42-0-5</x:v>
      </x:c>
      <x:c r="J339" s="35" t="str">
        <x:v>https://hrcportal.ohchr.org/draft-resolutions?sessionID=6452&amp;page=3</x:v>
      </x:c>
    </x:row>
    <x:row r="340" ht="42" customHeight="1">
      <x:c r="A340" s="34" t="str">
        <x:v>61</x:v>
      </x:c>
      <x:c r="B340" s="34" t="str">
        <x:v>6452</x:v>
      </x:c>
      <x:c r="C340" s="34" t="str">
        <x:v>A/HRC/61/L.38</x:v>
      </x:c>
      <x:c r="D340" s="34" t="str">
        <x:v>Human rights implications of the unprovoked attacks by the Islamic Republic of Iran against Bahrain, Kuwait, Oman, Qatar, Saudi Arabia, the United Arab Emirates and Jordan</x:v>
      </x:c>
      <x:c r="E340" s="34" t="str">
        <x:v>Bahrain (on behalf of the Gulf Cooperation Council), Jordan</x:v>
      </x:c>
      <x:c r="F340" s="34" t="n">
        <x:v>46104.30416666667</x:v>
      </x:c>
      <x:c r="G340" s="34" t="str">
        <x:v>A/HRC/RES/61/1</x:v>
      </x:c>
      <x:c r="H340" s="34" t="str">
        <x:v>adopted</x:v>
      </x:c>
      <x:c r="I340" s="34" t="str">
        <x:v>Adopted without a vote A/HRC/61/L.38 Oral Revision</x:v>
      </x:c>
      <x:c r="J340" s="34" t="str">
        <x:v>https://hrcportal.ohchr.org/draft-resolutions?sessionID=6452&amp;page=3</x:v>
      </x:c>
    </x:row>
    <x:row r="341" ht="42" customHeight="1">
      <x:c r="A341" s="35" t="str">
        <x:v>61</x:v>
      </x:c>
      <x:c r="B341" s="35" t="str">
        <x:v>6452</x:v>
      </x:c>
      <x:c r="C341" s="35" t="str">
        <x:v>A/HRC/61/L.39</x:v>
      </x:c>
      <x:c r="D341" s="35" t="str">
        <x:v>Amendment to draft resolution A/HRC/61/L.28</x:v>
      </x:c>
      <x:c r="E341" s="35" t="str">
        <x:v>Eritrea</x:v>
      </x:c>
      <x:c r="F341" s="35" t="n">
        <x:v>46105.38888888889</x:v>
      </x:c>
      <x:c r="G341" s="35" t="str"/>
      <x:c r="H341" s="35" t="str">
        <x:v>withdrawn</x:v>
      </x:c>
      <x:c r="I341" s="35" t="str">
        <x:v>Withdrawn by sponsor(s)</x:v>
      </x:c>
      <x:c r="J341" s="35" t="str">
        <x:v>https://hrcportal.ohchr.org/draft-resolutions?sessionID=6452&amp;page=3</x:v>
      </x:c>
    </x:row>
    <x:row r="342" ht="42" customHeight="1">
      <x:c r="A342" s="34" t="str">
        <x:v>61</x:v>
      </x:c>
      <x:c r="B342" s="34" t="str">
        <x:v>6452</x:v>
      </x:c>
      <x:c r="C342" s="34" t="str">
        <x:v>A/HRC/61/L.4/Rev.1</x:v>
      </x:c>
      <x:c r="D342" s="34" t="str">
        <x:v>Mandate of Special Rapporteur on the sale, sexual exploitation and sexual abuse of children</x:v>
      </x:c>
      <x:c r="E342" s="34" t="str">
        <x:v>Cyprus (on behalf of the European Union), Uruguay (on behalf of GRULAC, except Argentina)</x:v>
      </x:c>
      <x:c r="F342" s="34" t="n">
        <x:v>46108.25</x:v>
      </x:c>
      <x:c r="G342" s="34" t="str">
        <x:v>A/HRC/RES/61/8</x:v>
      </x:c>
      <x:c r="H342" s="34" t="str">
        <x:v>adopted</x:v>
      </x:c>
      <x:c r="I342" s="34" t="str">
        <x:v>Adopted without a vote</x:v>
      </x:c>
      <x:c r="J342" s="34" t="str">
        <x:v>https://hrcportal.ohchr.org/draft-resolutions?sessionID=6452&amp;page=0</x:v>
      </x:c>
    </x:row>
    <x:row r="343" ht="42" customHeight="1">
      <x:c r="A343" s="35" t="str">
        <x:v>61</x:v>
      </x:c>
      <x:c r="B343" s="35" t="str">
        <x:v>6452</x:v>
      </x:c>
      <x:c r="C343" s="35" t="str">
        <x:v>A/HRC/61/L.40</x:v>
      </x:c>
      <x:c r="D343" s="35" t="str">
        <x:v>Amendment to draft resolution A/HRC/61/L.10</x:v>
      </x:c>
      <x:c r="E343" s="35" t="str">
        <x:v>Pakistan (on behalf of the Organization of Islamic Cooperation)</x:v>
      </x:c>
      <x:c r="F343" s="35" t="n">
        <x:v>46105.40347222222</x:v>
      </x:c>
      <x:c r="G343" s="35" t="str"/>
      <x:c r="H343" s="35" t="str">
        <x:v>withdrawn</x:v>
      </x:c>
      <x:c r="I343" s="35" t="str">
        <x:v>Withdrawn by sponsor(s)</x:v>
      </x:c>
      <x:c r="J343" s="35" t="str">
        <x:v>https://hrcportal.ohchr.org/draft-resolutions?sessionID=6452&amp;page=3</x:v>
      </x:c>
    </x:row>
    <x:row r="344" ht="42" customHeight="1">
      <x:c r="A344" s="34" t="str">
        <x:v>61</x:v>
      </x:c>
      <x:c r="B344" s="34" t="str">
        <x:v>6452</x:v>
      </x:c>
      <x:c r="C344" s="34" t="str">
        <x:v>A/HRC/61/L.41</x:v>
      </x:c>
      <x:c r="D344" s="34" t="str">
        <x:v>Amendment to draft resolution A/HRC/61/L.10</x:v>
      </x:c>
      <x:c r="E344" s="34" t="str">
        <x:v>Pakistan (on behalf of the Organization of Islamic Cooperation)</x:v>
      </x:c>
      <x:c r="F344" s="34" t="n">
        <x:v>46105.40416666667</x:v>
      </x:c>
      <x:c r="G344" s="34" t="str"/>
      <x:c r="H344" s="34" t="str">
        <x:v>withdrawn</x:v>
      </x:c>
      <x:c r="I344" s="34" t="str">
        <x:v>Withdrawn by sponsor(s)</x:v>
      </x:c>
      <x:c r="J344" s="34" t="str">
        <x:v>https://hrcportal.ohchr.org/draft-resolutions?sessionID=6452&amp;page=4</x:v>
      </x:c>
    </x:row>
    <x:row r="345" ht="42" customHeight="1">
      <x:c r="A345" s="35" t="str">
        <x:v>61</x:v>
      </x:c>
      <x:c r="B345" s="35" t="str">
        <x:v>6452</x:v>
      </x:c>
      <x:c r="C345" s="35" t="str">
        <x:v>A/HRC/61/L.42</x:v>
      </x:c>
      <x:c r="D345" s="35" t="str">
        <x:v>Amendment to draft resolution A/HRC/61/L.27/Rev.1</x:v>
      </x:c>
      <x:c r="E345" s="35" t="str">
        <x:v>Russian Federation</x:v>
      </x:c>
      <x:c r="F345" s="35" t="n">
        <x:v>46105.41527777778</x:v>
      </x:c>
      <x:c r="G345" s="35" t="str"/>
      <x:c r="H345" s="35" t="str">
        <x:v>not considered</x:v>
      </x:c>
      <x:c r="I345" s="35" t="str">
        <x:v>Not considered by the Council</x:v>
      </x:c>
      <x:c r="J345" s="35" t="str">
        <x:v>https://hrcportal.ohchr.org/draft-resolutions?sessionID=6452&amp;page=4</x:v>
      </x:c>
    </x:row>
    <x:row r="346" ht="42" customHeight="1">
      <x:c r="A346" s="34" t="str">
        <x:v>61</x:v>
      </x:c>
      <x:c r="B346" s="34" t="str">
        <x:v>6452</x:v>
      </x:c>
      <x:c r="C346" s="34" t="str">
        <x:v>A/HRC/61/L.43</x:v>
      </x:c>
      <x:c r="D346" s="34" t="str">
        <x:v>Amendment to draft resolution A/HRC/61/L.27/Rev.1</x:v>
      </x:c>
      <x:c r="E346" s="34" t="str">
        <x:v>Russian Federation</x:v>
      </x:c>
      <x:c r="F346" s="34" t="n">
        <x:v>46105.415972222225</x:v>
      </x:c>
      <x:c r="G346" s="34" t="str"/>
      <x:c r="H346" s="34" t="str">
        <x:v>not considered</x:v>
      </x:c>
      <x:c r="I346" s="34" t="str">
        <x:v>Not considered by the Council</x:v>
      </x:c>
      <x:c r="J346" s="34" t="str">
        <x:v>https://hrcportal.ohchr.org/draft-resolutions?sessionID=6452&amp;page=4</x:v>
      </x:c>
    </x:row>
    <x:row r="347" ht="42" customHeight="1">
      <x:c r="A347" s="35" t="str">
        <x:v>61</x:v>
      </x:c>
      <x:c r="B347" s="35" t="str">
        <x:v>6452</x:v>
      </x:c>
      <x:c r="C347" s="35" t="str">
        <x:v>A/HRC/61/L.5</x:v>
      </x:c>
      <x:c r="D347" s="35" t="str">
        <x:v>The rights of persons with disabilities: disability-inclusive digital technologies and infrastructure, including transport and housing</x:v>
      </x:c>
      <x:c r="E347" s="35" t="str">
        <x:v>Mexico, New Zealand</x:v>
      </x:c>
      <x:c r="F347" s="35" t="n">
        <x:v>46094.52916666667</x:v>
      </x:c>
      <x:c r="G347" s="35" t="str">
        <x:v>A/HRC/RES/61/9</x:v>
      </x:c>
      <x:c r="H347" s="35" t="str">
        <x:v>adopted</x:v>
      </x:c>
      <x:c r="I347" s="35" t="str">
        <x:v>Adopted without a vote</x:v>
      </x:c>
      <x:c r="J347" s="35" t="str">
        <x:v>https://hrcportal.ohchr.org/draft-resolutions?sessionID=6452&amp;page=0</x:v>
      </x:c>
    </x:row>
    <x:row r="348" ht="42" customHeight="1">
      <x:c r="A348" s="34" t="str">
        <x:v>61</x:v>
      </x:c>
      <x:c r="B348" s="34" t="str">
        <x:v>6452</x:v>
      </x:c>
      <x:c r="C348" s="34" t="str">
        <x:v>A/HRC/61/L.6/Rev.1</x:v>
      </x:c>
      <x:c r="D348" s="34" t="str">
        <x:v>Mandate of the Intergovernmental Working Group on the Effective Implementation of the Durban Declaration and Programme of Action</x:v>
      </x:c>
      <x:c r="E348" s="34" t="str">
        <x:v>Kenya (on behalf of Group of African States)</x:v>
      </x:c>
      <x:c r="F348" s="34" t="n">
        <x:v>46105.535416666666</x:v>
      </x:c>
      <x:c r="G348" s="34" t="str">
        <x:v>A/HRC/RES/61/34</x:v>
      </x:c>
      <x:c r="H348" s="34" t="str">
        <x:v>adopted</x:v>
      </x:c>
      <x:c r="I348" s="34" t="str">
        <x:v>Adopted without a vote</x:v>
      </x:c>
      <x:c r="J348" s="34" t="str">
        <x:v>https://hrcportal.ohchr.org/draft-resolutions?sessionID=6452&amp;page=0</x:v>
      </x:c>
    </x:row>
    <x:row r="349" ht="42" customHeight="1">
      <x:c r="A349" s="35" t="str">
        <x:v>61</x:v>
      </x:c>
      <x:c r="B349" s="35" t="str">
        <x:v>6452</x:v>
      </x:c>
      <x:c r="C349" s="35" t="str">
        <x:v>A/HRC/61/L.7</x:v>
      </x:c>
      <x:c r="D349" s="35" t="str">
        <x:v>Mandate of Special Rapporteur on contemporary forms of racism, racial discrimination, xenophobia and related intolerance</x:v>
      </x:c>
      <x:c r="E349" s="35" t="str">
        <x:v>Kenya (on behalf of Group of African States)</x:v>
      </x:c>
      <x:c r="F349" s="35" t="n">
        <x:v>46097.52777777778</x:v>
      </x:c>
      <x:c r="G349" s="35" t="str">
        <x:v>A/HRC/RES/61/35</x:v>
      </x:c>
      <x:c r="H349" s="35" t="str">
        <x:v>adopted</x:v>
      </x:c>
      <x:c r="I349" s="35" t="str">
        <x:v>Adopted without a vote</x:v>
      </x:c>
      <x:c r="J349" s="35" t="str">
        <x:v>https://hrcportal.ohchr.org/draft-resolutions?sessionID=6452&amp;page=0</x:v>
      </x:c>
    </x:row>
    <x:row r="350" ht="42" customHeight="1">
      <x:c r="A350" s="34" t="str">
        <x:v>61</x:v>
      </x:c>
      <x:c r="B350" s="34" t="str">
        <x:v>6452</x:v>
      </x:c>
      <x:c r="C350" s="34" t="str">
        <x:v>A/HRC/61/L.8</x:v>
      </x:c>
      <x:c r="D350" s="34" t="str">
        <x:v>Human rights in the occupied Syrian Golan</x:v>
      </x:c>
      <x:c r="E350" s="34" t="str">
        <x:v>Pakistan (on behalf of the Organization of Islamic Cooperation)</x:v>
      </x:c>
      <x:c r="F350" s="34" t="n">
        <x:v>46097.524305555555</x:v>
      </x:c>
      <x:c r="G350" s="34" t="str">
        <x:v>A/HRC/RES/61/31</x:v>
      </x:c>
      <x:c r="H350" s="34" t="str">
        <x:v>adopted</x:v>
      </x:c>
      <x:c r="I350" s="34" t="str">
        <x:v>Adopted vote 28-3-16</x:v>
      </x:c>
      <x:c r="J350" s="34" t="str">
        <x:v>https://hrcportal.ohchr.org/draft-resolutions?sessionID=6452&amp;page=0</x:v>
      </x:c>
    </x:row>
    <x:row r="351" ht="42" customHeight="1">
      <x:c r="A351" s="35" t="str">
        <x:v>61</x:v>
      </x:c>
      <x:c r="B351" s="35" t="str">
        <x:v>6452</x:v>
      </x:c>
      <x:c r="C351" s="35" t="str">
        <x:v>A/HRC/61/L.9</x:v>
      </x:c>
      <x:c r="D351" s="35" t="str">
        <x:v>Combating intolerance, negative stereotyping and stigmatization of, and discrimination, incitement to violence and violence against, persons based on religion or belief</x:v>
      </x:c>
      <x:c r="E351" s="35" t="str">
        <x:v>Pakistan (on behalf of the Organization of Islamic Cooperation)</x:v>
      </x:c>
      <x:c r="F351" s="35" t="n">
        <x:v>46097.525</x:v>
      </x:c>
      <x:c r="G351" s="35" t="str">
        <x:v>A/HRC/RES/61/36</x:v>
      </x:c>
      <x:c r="H351" s="35" t="str">
        <x:v>adopted</x:v>
      </x:c>
      <x:c r="I351" s="35" t="str">
        <x:v>Adopted without a vote</x:v>
      </x:c>
      <x:c r="J351" s="35" t="str">
        <x:v>https://hrcportal.ohchr.org/draft-resolutions?sessionID=6452&amp;page=0</x:v>
      </x:c>
    </x:row>
    <x:row r="352" ht="42" customHeight="1">
      <x:c r="A352" s="34" t="str">
        <x:v>62</x:v>
      </x:c>
      <x:c r="B352" s="34" t="str">
        <x:v>11436</x:v>
      </x:c>
      <x:c r="C352" s="34" t="str">
        <x:v>A/HRC/62/L.1</x:v>
      </x:c>
      <x:c r="D352" s="34" t="str">
        <x:v>Business and human rights</x:v>
      </x:c>
      <x:c r="E352" s="34" t="str">
        <x:v>Argentina</x:v>
      </x:c>
      <x:c r="F352" s="34" t="n">
        <x:v>46192.37430555555</x:v>
      </x:c>
      <x:c r="G352" s="34" t="str">
        <x:v>A/HRC/RES/62/5</x:v>
      </x:c>
      <x:c r="H352" s="34" t="str">
        <x:v>adopted</x:v>
      </x:c>
      <x:c r="I352" s="34" t="str">
        <x:v>Adopted without a vote</x:v>
      </x:c>
      <x:c r="J352" s="34" t="str">
        <x:v>https://hrcportal.ohchr.org/draft-resolutions?sessionID=11436&amp;page=0</x:v>
      </x:c>
    </x:row>
    <x:row r="353" ht="42" customHeight="1">
      <x:c r="A353" s="35" t="str">
        <x:v>62</x:v>
      </x:c>
      <x:c r="B353" s="35" t="str">
        <x:v>11436</x:v>
      </x:c>
      <x:c r="C353" s="35" t="str">
        <x:v>A/HRC/62/L.10</x:v>
      </x:c>
      <x:c r="D353" s="35" t="str">
        <x:v>Strengthening the voluntary funds for the universal periodic review mechanism of the Human Rights Council</x:v>
      </x:c>
      <x:c r="E353" s="35" t="str">
        <x:v>Norway, Argentina, Armenia, Fiji, Pakistan, South Africa</x:v>
      </x:c>
      <x:c r="F353" s="35" t="n">
        <x:v>46197.5125</x:v>
      </x:c>
      <x:c r="G353" s="35" t="str">
        <x:v>A/HRC/RES/62/23</x:v>
      </x:c>
      <x:c r="H353" s="35" t="str">
        <x:v>adopted</x:v>
      </x:c>
      <x:c r="I353" s="35" t="str"/>
      <x:c r="J353" s="35" t="str">
        <x:v>https://hrcportal.ohchr.org/draft-resolutions?sessionID=11436&amp;page=1</x:v>
      </x:c>
    </x:row>
    <x:row r="354" ht="42" customHeight="1">
      <x:c r="A354" s="34" t="str">
        <x:v>62</x:v>
      </x:c>
      <x:c r="B354" s="34" t="str">
        <x:v>11436</x:v>
      </x:c>
      <x:c r="C354" s="34" t="str">
        <x:v>A/HRC/62/L.11</x:v>
      </x:c>
      <x:c r="D354" s="34" t="str">
        <x:v>Mandate of the Special Rapporteur on extrajudicial, summary or arbitrary executions</x:v>
      </x:c>
      <x:c r="E354" s="34" t="str">
        <x:v>Finland, Sweden, Uruguay</x:v>
      </x:c>
      <x:c r="F354" s="34" t="n">
        <x:v>46197.52569444444</x:v>
      </x:c>
      <x:c r="G354" s="34" t="str">
        <x:v>A/HRC/RES/62/10</x:v>
      </x:c>
      <x:c r="H354" s="34" t="str">
        <x:v>adopted</x:v>
      </x:c>
      <x:c r="I354" s="34" t="str"/>
      <x:c r="J354" s="34" t="str">
        <x:v>https://hrcportal.ohchr.org/draft-resolutions?sessionID=11436&amp;page=1</x:v>
      </x:c>
    </x:row>
    <x:row r="355" ht="42" customHeight="1">
      <x:c r="A355" s="35" t="str">
        <x:v>62</x:v>
      </x:c>
      <x:c r="B355" s="35" t="str">
        <x:v>11436</x:v>
      </x:c>
      <x:c r="C355" s="35" t="str">
        <x:v>A/HRC/62/L.12</x:v>
      </x:c>
      <x:c r="D355" s="35" t="str">
        <x:v>OBSOLETE</x:v>
      </x:c>
      <x:c r="E355" s="35" t="str">
        <x:v>Canada, Brazil, Fiji, Namibia, Netherlands (Kingdom of the), Sweden</x:v>
      </x:c>
      <x:c r="F355" s="35" t="n">
        <x:v>46198.291666666664</x:v>
      </x:c>
      <x:c r="G355" s="35" t="str"/>
      <x:c r="H355" s="35" t="str">
        <x:v>obsolete/superseded</x:v>
      </x:c>
      <x:c r="I355" s="35" t="str">
        <x:v>-</x:v>
      </x:c>
      <x:c r="J355" s="35" t="str">
        <x:v>https://hrcportal.ohchr.org/draft-resolutions?sessionID=11436&amp;page=1</x:v>
      </x:c>
    </x:row>
    <x:row r="356" ht="42" customHeight="1">
      <x:c r="A356" s="34" t="str">
        <x:v>62</x:v>
      </x:c>
      <x:c r="B356" s="34" t="str">
        <x:v>11436</x:v>
      </x:c>
      <x:c r="C356" s="34" t="str">
        <x:v>A/HRC/62/L.12/Rev.1</x:v>
      </x:c>
      <x:c r="D356" s="34" t="str">
        <x:v>Freedom of opinion and expression</x:v>
      </x:c>
      <x:c r="E356" s="34" t="str">
        <x:v>Canada, Brazil, Fiji, Namibia, Netherlands (Kingdom of the), Sweden</x:v>
      </x:c>
      <x:c r="F356" s="34" t="n">
        <x:v>46204.37569444445</x:v>
      </x:c>
      <x:c r="G356" s="34" t="str">
        <x:v>A/HRC/RES/62/11</x:v>
      </x:c>
      <x:c r="H356" s="34" t="str">
        <x:v>adopted</x:v>
      </x:c>
      <x:c r="I356" s="34" t="str"/>
      <x:c r="J356" s="34" t="str">
        <x:v>https://hrcportal.ohchr.org/draft-resolutions?sessionID=11436&amp;page=1</x:v>
      </x:c>
    </x:row>
    <x:row r="357" ht="42" customHeight="1">
      <x:c r="A357" s="35" t="str">
        <x:v>62</x:v>
      </x:c>
      <x:c r="B357" s="35" t="str">
        <x:v>11436</x:v>
      </x:c>
      <x:c r="C357" s="35" t="str">
        <x:v>A/HRC/62/L.13</x:v>
      </x:c>
      <x:c r="D357" s="35" t="str">
        <x:v>Human rights and the civilian acquisition, possession and use of firearms</x:v>
      </x:c>
      <x:c r="E357" s="35" t="str">
        <x:v>Ecuador, Peru</x:v>
      </x:c>
      <x:c r="F357" s="35" t="n">
        <x:v>46198.256944444445</x:v>
      </x:c>
      <x:c r="G357" s="35" t="str">
        <x:v>A/HRC/RES/62/17</x:v>
      </x:c>
      <x:c r="H357" s="35" t="str">
        <x:v>adopted</x:v>
      </x:c>
      <x:c r="I357" s="35" t="str">
        <x:v>Adopted without a vote</x:v>
      </x:c>
      <x:c r="J357" s="35" t="str">
        <x:v>https://hrcportal.ohchr.org/draft-resolutions?sessionID=11436&amp;page=1</x:v>
      </x:c>
    </x:row>
    <x:row r="358" ht="42" customHeight="1">
      <x:c r="A358" s="34" t="str">
        <x:v>62</x:v>
      </x:c>
      <x:c r="B358" s="34" t="str">
        <x:v>11436</x:v>
      </x:c>
      <x:c r="C358" s="34" t="str">
        <x:v>A/HRC/62/L.14</x:v>
      </x:c>
      <x:c r="D358" s="34" t="str">
        <x:v>Technical assistance and capacity-building for the Member-States of the Community of Portuguese-speaking Countries</x:v>
      </x:c>
      <x:c r="E358" s="34" t="str">
        <x:v>Portugal, Angola, Brazil, Cabo Verde, Mozambique, Sao Tome And Principe, Timor-Leste</x:v>
      </x:c>
      <x:c r="F358" s="34" t="n">
        <x:v>46198.26388888889</x:v>
      </x:c>
      <x:c r="G358" s="34" t="str">
        <x:v>A/HRC/RES/62/24</x:v>
      </x:c>
      <x:c r="H358" s="34" t="str">
        <x:v>adopted</x:v>
      </x:c>
      <x:c r="I358" s="34" t="str"/>
      <x:c r="J358" s="34" t="str">
        <x:v>https://hrcportal.ohchr.org/draft-resolutions?sessionID=11436&amp;page=1</x:v>
      </x:c>
    </x:row>
    <x:row r="359" ht="42" customHeight="1">
      <x:c r="A359" s="35" t="str">
        <x:v>62</x:v>
      </x:c>
      <x:c r="B359" s="35" t="str">
        <x:v>11436</x:v>
      </x:c>
      <x:c r="C359" s="35" t="str">
        <x:v>A/HRC/62/L.15</x:v>
      </x:c>
      <x:c r="D359" s="35" t="str">
        <x:v>Independence and impartiality of the judiciary, jurors and assessors, and the independence of lawyers: mandate of Special Rapporteur on the independence of judges and lawyers</x:v>
      </x:c>
      <x:c r="E359" s="35" t="str">
        <x:v>Hungary, Australia, Botswana, Maldives, Mexico, Thailand</x:v>
      </x:c>
      <x:c r="F359" s="35" t="n">
        <x:v>46198.27777777778</x:v>
      </x:c>
      <x:c r="G359" s="35" t="str">
        <x:v>A/HRC/RES/62/12</x:v>
      </x:c>
      <x:c r="H359" s="35" t="str">
        <x:v>adopted</x:v>
      </x:c>
      <x:c r="I359" s="35" t="str">
        <x:v>Adopted without a vote</x:v>
      </x:c>
      <x:c r="J359" s="35" t="str">
        <x:v>https://hrcportal.ohchr.org/draft-resolutions?sessionID=11436&amp;page=1</x:v>
      </x:c>
    </x:row>
    <x:row r="360" ht="42" customHeight="1">
      <x:c r="A360" s="34" t="str">
        <x:v>62</x:v>
      </x:c>
      <x:c r="B360" s="34" t="str">
        <x:v>11436</x:v>
      </x:c>
      <x:c r="C360" s="34" t="str">
        <x:v>A/HRC/62/L.16</x:v>
      </x:c>
      <x:c r="D360" s="34" t="str">
        <x:v>OBSOLETE</x:v>
      </x:c>
      <x:c r="E360" s="34" t="str">
        <x:v>Mexico, Spain, Iceland</x:v>
      </x:c>
      <x:c r="F360" s="34" t="n">
        <x:v>46198.322916666664</x:v>
      </x:c>
      <x:c r="G360" s="34" t="str"/>
      <x:c r="H360" s="34" t="str">
        <x:v>obsolete/superseded</x:v>
      </x:c>
      <x:c r="I360" s="34" t="str">
        <x:v>-</x:v>
      </x:c>
      <x:c r="J360" s="34" t="str">
        <x:v>https://hrcportal.ohchr.org/draft-resolutions?sessionID=11436&amp;page=1</x:v>
      </x:c>
    </x:row>
    <x:row r="361" ht="42" customHeight="1">
      <x:c r="A361" s="35" t="str">
        <x:v>62</x:v>
      </x:c>
      <x:c r="B361" s="35" t="str">
        <x:v>11436</x:v>
      </x:c>
      <x:c r="C361" s="35" t="str">
        <x:v>A/HRC/62/L.16/Rev.1</x:v>
      </x:c>
      <x:c r="D361" s="35" t="str">
        <x:v>Elimination of all forms of discrimination against women and girls: in care and support systems</x:v>
      </x:c>
      <x:c r="E361" s="35" t="str">
        <x:v>Mexico, Spain, Iceland</x:v>
      </x:c>
      <x:c r="F361" s="35" t="n">
        <x:v>46198.28125</x:v>
      </x:c>
      <x:c r="G361" s="35" t="str"/>
      <x:c r="H361" s="35" t="str">
        <x:v>tabled; no final resolution shown</x:v>
      </x:c>
      <x:c r="I361" s="35" t="str">
        <x:v>Adopted without a vote</x:v>
      </x:c>
      <x:c r="J361" s="35" t="str">
        <x:v>https://hrcportal.ohchr.org/draft-resolutions?sessionID=11436&amp;page=1</x:v>
      </x:c>
    </x:row>
    <x:row r="362" ht="42" customHeight="1">
      <x:c r="A362" s="34" t="str">
        <x:v>62</x:v>
      </x:c>
      <x:c r="B362" s="34" t="str">
        <x:v>11436</x:v>
      </x:c>
      <x:c r="C362" s="34" t="str">
        <x:v>A/HRC/62/L.17</x:v>
      </x:c>
      <x:c r="D362" s="34" t="str">
        <x:v>Technical assistance and capacity-building for empowering women’s access to education and work in digital and cybersecurity-related fields</x:v>
      </x:c>
      <x:c r="E362" s="34" t="str">
        <x:v>Saudi Arabia, Bangladesh, Gambia, Greece, Qatar</x:v>
      </x:c>
      <x:c r="F362" s="34" t="n">
        <x:v>46198.333333333336</x:v>
      </x:c>
      <x:c r="G362" s="34" t="str">
        <x:v>A/HRC/RES/62/25</x:v>
      </x:c>
      <x:c r="H362" s="34" t="str">
        <x:v>adopted</x:v>
      </x:c>
      <x:c r="I362" s="34" t="str"/>
      <x:c r="J362" s="34" t="str">
        <x:v>https://hrcportal.ohchr.org/draft-resolutions?sessionID=11436&amp;page=2</x:v>
      </x:c>
    </x:row>
    <x:row r="363" ht="42" customHeight="1">
      <x:c r="A363" s="35" t="str">
        <x:v>62</x:v>
      </x:c>
      <x:c r="B363" s="35" t="str">
        <x:v>11436</x:v>
      </x:c>
      <x:c r="C363" s="35" t="str">
        <x:v>A/HRC/62/L.18</x:v>
      </x:c>
      <x:c r="D363" s="35" t="str">
        <x:v>OBSOLETE</x:v>
      </x:c>
      <x:c r="E363" s="35" t="str">
        <x:v>Philippines, Bangladesh, Vietnam</x:v>
      </x:c>
      <x:c r="F363" s="35" t="n">
        <x:v>46198.38888888889</x:v>
      </x:c>
      <x:c r="G363" s="35" t="str"/>
      <x:c r="H363" s="35" t="str">
        <x:v>obsolete/superseded</x:v>
      </x:c>
      <x:c r="I363" s="35" t="str">
        <x:v>-</x:v>
      </x:c>
      <x:c r="J363" s="35" t="str">
        <x:v>https://hrcportal.ohchr.org/draft-resolutions?sessionID=11436&amp;page=2</x:v>
      </x:c>
    </x:row>
    <x:row r="364" ht="42" customHeight="1">
      <x:c r="A364" s="34" t="str">
        <x:v>62</x:v>
      </x:c>
      <x:c r="B364" s="34" t="str">
        <x:v>11436</x:v>
      </x:c>
      <x:c r="C364" s="34" t="str">
        <x:v>A/HRC/62/L.18/Rev.1</x:v>
      </x:c>
      <x:c r="D364" s="34" t="str">
        <x:v>Human rights and climate change</x:v>
      </x:c>
      <x:c r="E364" s="34" t="str">
        <x:v>Philippines, Bangladesh, Viet Nam</x:v>
      </x:c>
      <x:c r="F364" s="34" t="n">
        <x:v>46204.29513888889</x:v>
      </x:c>
      <x:c r="G364" s="34" t="str">
        <x:v>A/HRC/RES/62/14</x:v>
      </x:c>
      <x:c r="H364" s="34" t="str">
        <x:v>adopted</x:v>
      </x:c>
      <x:c r="I364" s="34" t="str">
        <x:v>Adopted without a vote</x:v>
      </x:c>
      <x:c r="J364" s="34" t="str">
        <x:v>https://hrcportal.ohchr.org/draft-resolutions?sessionID=11436&amp;page=2</x:v>
      </x:c>
    </x:row>
    <x:row r="365" ht="42" customHeight="1">
      <x:c r="A365" s="35" t="str">
        <x:v>62</x:v>
      </x:c>
      <x:c r="B365" s="35" t="str">
        <x:v>11436</x:v>
      </x:c>
      <x:c r="C365" s="35" t="str">
        <x:v>A/HRC/62/L.19</x:v>
      </x:c>
      <x:c r="D365" s="35" t="str">
        <x:v>OBSOLETE</x:v>
      </x:c>
      <x:c r="E365" s="35" t="str">
        <x:v>Mexico, Cabo Verde, Estonia, Morocco, Slovenia, Spain, Thailand</x:v>
      </x:c>
      <x:c r="F365" s="35" t="n">
        <x:v>46198.41736111111</x:v>
      </x:c>
      <x:c r="G365" s="35" t="str"/>
      <x:c r="H365" s="35" t="str">
        <x:v>obsolete/superseded</x:v>
      </x:c>
      <x:c r="I365" s="35" t="str">
        <x:v>-</x:v>
      </x:c>
      <x:c r="J365" s="35" t="str">
        <x:v>https://hrcportal.ohchr.org/draft-resolutions?sessionID=11436&amp;page=2</x:v>
      </x:c>
    </x:row>
    <x:row r="366" ht="42" customHeight="1">
      <x:c r="A366" s="34" t="str">
        <x:v>62</x:v>
      </x:c>
      <x:c r="B366" s="34" t="str">
        <x:v>11436</x:v>
      </x:c>
      <x:c r="C366" s="34" t="str">
        <x:v>A/HRC/62/L.19/Rev.1</x:v>
      </x:c>
      <x:c r="D366" s="34" t="str">
        <x:v>Twentieth anniversary of the Human Rights Council</x:v>
      </x:c>
      <x:c r="E366" s="34" t="str">
        <x:v>Mexico, Cabo Verde, Estonia, Morocco, Slovenia, Spain, Thailand</x:v>
      </x:c>
      <x:c r="F366" s="34" t="n">
        <x:v>46204.31805555556</x:v>
      </x:c>
      <x:c r="G366" s="34" t="str">
        <x:v>A/HRC/RES/62/27</x:v>
      </x:c>
      <x:c r="H366" s="34" t="str">
        <x:v>adopted</x:v>
      </x:c>
      <x:c r="I366" s="34" t="str">
        <x:v>Adopted without a vote A/HRC/62/L.19/Rev.1 Oral Revision</x:v>
      </x:c>
      <x:c r="J366" s="34" t="str">
        <x:v>https://hrcportal.ohchr.org/draft-resolutions?sessionID=11436&amp;page=2</x:v>
      </x:c>
    </x:row>
    <x:row r="367" ht="42" customHeight="1">
      <x:c r="A367" s="35" t="str">
        <x:v>62</x:v>
      </x:c>
      <x:c r="B367" s="35" t="str">
        <x:v>11436</x:v>
      </x:c>
      <x:c r="C367" s="35" t="str">
        <x:v>A/HRC/62/L.2</x:v>
      </x:c>
      <x:c r="D367" s="35" t="str">
        <x:v>Enhancement of international cooperation in the field of human rights</x:v>
      </x:c>
      <x:c r="E367" s="35" t="str">
        <x:v>Uganda (on behalf of the Movement of Non-Aligned Countries)</x:v>
      </x:c>
      <x:c r="F367" s="35" t="n">
        <x:v>46192.44861111111</x:v>
      </x:c>
      <x:c r="G367" s="35" t="str">
        <x:v>A/HRC/RES/62/6</x:v>
      </x:c>
      <x:c r="H367" s="35" t="str">
        <x:v>adopted</x:v>
      </x:c>
      <x:c r="I367" s="35" t="str">
        <x:v>Adopted vote 29-16-1</x:v>
      </x:c>
      <x:c r="J367" s="35" t="str">
        <x:v>https://hrcportal.ohchr.org/draft-resolutions?sessionID=11436&amp;page=0</x:v>
      </x:c>
    </x:row>
    <x:row r="368" ht="42" customHeight="1">
      <x:c r="A368" s="34" t="str">
        <x:v>62</x:v>
      </x:c>
      <x:c r="B368" s="34" t="str">
        <x:v>11436</x:v>
      </x:c>
      <x:c r="C368" s="34" t="str">
        <x:v>A/HRC/62/L.20</x:v>
      </x:c>
      <x:c r="D368" s="34" t="str">
        <x:v>Situation of human rights of Rohingya Muslims and other minorities in Myanmar</x:v>
      </x:c>
      <x:c r="E368" s="34" t="str">
        <x:v>Pakistan (on behalf of the Organization of Islamic Cooperation)</x:v>
      </x:c>
      <x:c r="F368" s="34" t="n">
        <x:v>46198.407638888886</x:v>
      </x:c>
      <x:c r="G368" s="34" t="str">
        <x:v>A/HRC/RES/62/3</x:v>
      </x:c>
      <x:c r="H368" s="34" t="str">
        <x:v>adopted</x:v>
      </x:c>
      <x:c r="I368" s="34" t="str">
        <x:v>Adopted without a vote</x:v>
      </x:c>
      <x:c r="J368" s="34" t="str">
        <x:v>https://hrcportal.ohchr.org/draft-resolutions?sessionID=11436&amp;page=2</x:v>
      </x:c>
    </x:row>
    <x:row r="369" ht="42" customHeight="1">
      <x:c r="A369" s="35" t="str">
        <x:v>62</x:v>
      </x:c>
      <x:c r="B369" s="35" t="str">
        <x:v>11436</x:v>
      </x:c>
      <x:c r="C369" s="35" t="str">
        <x:v>A/HRC/62/L.21</x:v>
      </x:c>
      <x:c r="D369" s="35" t="str">
        <x:v>OBSOLETE</x:v>
      </x:c>
      <x:c r="E369" s="35" t="str">
        <x:v>Colombia, Fiji, Georgia, Japan, Sierra Leone, Sweden, Uruguay</x:v>
      </x:c>
      <x:c r="F369" s="35" t="n">
        <x:v>46198.45694444444</x:v>
      </x:c>
      <x:c r="G369" s="35" t="str"/>
      <x:c r="H369" s="35" t="str">
        <x:v>obsolete/superseded</x:v>
      </x:c>
      <x:c r="I369" s="35" t="str">
        <x:v>-</x:v>
      </x:c>
      <x:c r="J369" s="35" t="str">
        <x:v>https://hrcportal.ohchr.org/draft-resolutions?sessionID=11436&amp;page=2</x:v>
      </x:c>
    </x:row>
    <x:row r="370" ht="42" customHeight="1">
      <x:c r="A370" s="34" t="str">
        <x:v>62</x:v>
      </x:c>
      <x:c r="B370" s="34" t="str">
        <x:v>11436</x:v>
      </x:c>
      <x:c r="C370" s="34" t="str">
        <x:v>A/HRC/62/L.21/Rev.1</x:v>
      </x:c>
      <x:c r="D370" s="34" t="str">
        <x:v>Promoting, protecting and respecting women’s and girls’ full enjoyment of human rights in humanitarian situations</x:v>
      </x:c>
      <x:c r="E370" s="34" t="str">
        <x:v>Colombia, Fiji, Georgia, Japan, Sierra Leone, Sweden, Uruguay</x:v>
      </x:c>
      <x:c r="F370" s="34" t="n">
        <x:v>46204.365277777775</x:v>
      </x:c>
      <x:c r="G370" s="34" t="str">
        <x:v>A/HRC/RES/62/18</x:v>
      </x:c>
      <x:c r="H370" s="34" t="str">
        <x:v>adopted</x:v>
      </x:c>
      <x:c r="I370" s="34" t="str">
        <x:v>Adopted as orally revised without a vote A/HRC/62/L.21/Rev.1 Oral revision</x:v>
      </x:c>
      <x:c r="J370" s="34" t="str">
        <x:v>https://hrcportal.ohchr.org/draft-resolutions?sessionID=11436&amp;page=2</x:v>
      </x:c>
    </x:row>
    <x:row r="371" ht="42" customHeight="1">
      <x:c r="A371" s="35" t="str">
        <x:v>62</x:v>
      </x:c>
      <x:c r="B371" s="35" t="str">
        <x:v>11436</x:v>
      </x:c>
      <x:c r="C371" s="35" t="str">
        <x:v>A/HRC/62/L.22</x:v>
      </x:c>
      <x:c r="D371" s="35" t="str">
        <x:v>Extreme poverty and human rights</x:v>
      </x:c>
      <x:c r="E371" s="35" t="str">
        <x:v>France, Albania, Belgium, Chile, Morocco, Peru, Philippines, Romania</x:v>
      </x:c>
      <x:c r="F371" s="35" t="n">
        <x:v>46198.45763888889</x:v>
      </x:c>
      <x:c r="G371" s="35" t="str">
        <x:v>A/HRC/RES/62/28</x:v>
      </x:c>
      <x:c r="H371" s="35" t="str">
        <x:v>adopted</x:v>
      </x:c>
      <x:c r="I371" s="35" t="str">
        <x:v>Adopted without a vote A/HRC/62/L.22 Oral Revision</x:v>
      </x:c>
      <x:c r="J371" s="35" t="str">
        <x:v>https://hrcportal.ohchr.org/draft-resolutions?sessionID=11436&amp;page=2</x:v>
      </x:c>
    </x:row>
    <x:row r="372" ht="42" customHeight="1">
      <x:c r="A372" s="34" t="str">
        <x:v>62</x:v>
      </x:c>
      <x:c r="B372" s="34" t="str">
        <x:v>11436</x:v>
      </x:c>
      <x:c r="C372" s="34" t="str">
        <x:v>A/HRC/62/L.23</x:v>
      </x:c>
      <x:c r="D372" s="34" t="str">
        <x:v>Technical assistance and capacity-building for South Sudan</x:v>
      </x:c>
      <x:c r="E372" s="34" t="str">
        <x:v>Kenya (on behalf of the Group of African States)</x:v>
      </x:c>
      <x:c r="F372" s="34" t="n">
        <x:v>46198.458333333336</x:v>
      </x:c>
      <x:c r="G372" s="34" t="str">
        <x:v>A/HRC/RES/62/26</x:v>
      </x:c>
      <x:c r="H372" s="34" t="str">
        <x:v>adopted</x:v>
      </x:c>
      <x:c r="I372" s="34" t="str">
        <x:v>Adopted without a vote</x:v>
      </x:c>
      <x:c r="J372" s="34" t="str">
        <x:v>https://hrcportal.ohchr.org/draft-resolutions?sessionID=11436&amp;page=2</x:v>
      </x:c>
    </x:row>
    <x:row r="373" ht="42" customHeight="1">
      <x:c r="A373" s="35" t="str">
        <x:v>62</x:v>
      </x:c>
      <x:c r="B373" s="35" t="str">
        <x:v>11436</x:v>
      </x:c>
      <x:c r="C373" s="35" t="str">
        <x:v>A/HRC/62/L.24</x:v>
      </x:c>
      <x:c r="D373" s="35" t="str">
        <x:v>OBSOLETE</x:v>
      </x:c>
      <x:c r="E373" s="35" t="str">
        <x:v>Canada, Honduras, Italy, Montenegro, Netherlands (Kingdom of the), Poland, Sierra Leone, Thailand, Uruguay</x:v>
      </x:c>
      <x:c r="F373" s="35" t="n">
        <x:v>46199.291666666664</x:v>
      </x:c>
      <x:c r="G373" s="35" t="str"/>
      <x:c r="H373" s="35" t="str">
        <x:v>obsolete/superseded</x:v>
      </x:c>
      <x:c r="I373" s="35" t="str">
        <x:v>-</x:v>
      </x:c>
      <x:c r="J373" s="35" t="str">
        <x:v>https://hrcportal.ohchr.org/draft-resolutions?sessionID=11436&amp;page=3</x:v>
      </x:c>
    </x:row>
    <x:row r="374" ht="42" customHeight="1">
      <x:c r="A374" s="34" t="str">
        <x:v>62</x:v>
      </x:c>
      <x:c r="B374" s="34" t="str">
        <x:v>11436</x:v>
      </x:c>
      <x:c r="C374" s="34" t="str">
        <x:v>A/HRC/62/L.24/Rev.1</x:v>
      </x:c>
      <x:c r="D374" s="34" t="str">
        <x:v>Child, early and forced marriage</x:v>
      </x:c>
      <x:c r="E374" s="34" t="str">
        <x:v>Switzerland, Canada, Honduras, Italy, Montenegro, Netherlands (Kingdom of the), Poland, Sierra Leone, Thailand, Uruguay</x:v>
      </x:c>
      <x:c r="F374" s="34" t="n">
        <x:v>46204.291666666664</x:v>
      </x:c>
      <x:c r="G374" s="34" t="str">
        <x:v>A/HRC/RES/62/19</x:v>
      </x:c>
      <x:c r="H374" s="34" t="str">
        <x:v>adopted</x:v>
      </x:c>
      <x:c r="I374" s="34" t="str">
        <x:v>Adopted as orally revised without a vote A/HRC/61/L.24/Rev.1 Oral Revision</x:v>
      </x:c>
      <x:c r="J374" s="34" t="str">
        <x:v>https://hrcportal.ohchr.org/draft-resolutions?sessionID=11436&amp;page=3</x:v>
      </x:c>
    </x:row>
    <x:row r="375" ht="42" customHeight="1">
      <x:c r="A375" s="35" t="str">
        <x:v>62</x:v>
      </x:c>
      <x:c r="B375" s="35" t="str">
        <x:v>11436</x:v>
      </x:c>
      <x:c r="C375" s="35" t="str">
        <x:v>A/HRC/62/L.25</x:v>
      </x:c>
      <x:c r="D375" s="35" t="str">
        <x:v>OBSOLETE</x:v>
      </x:c>
      <x:c r="E375" s="35" t="str">
        <x:v>Kuwait, Egypt, Indonesia, Malaysia</x:v>
      </x:c>
      <x:c r="F375" s="35" t="n">
        <x:v>46199.35625</x:v>
      </x:c>
      <x:c r="G375" s="35" t="str"/>
      <x:c r="H375" s="35" t="str">
        <x:v>obsolete/superseded</x:v>
      </x:c>
      <x:c r="I375" s="35" t="str">
        <x:v>-</x:v>
      </x:c>
      <x:c r="J375" s="35" t="str">
        <x:v>https://hrcportal.ohchr.org/draft-resolutions?sessionID=11436&amp;page=3</x:v>
      </x:c>
    </x:row>
    <x:row r="376" ht="42" customHeight="1">
      <x:c r="A376" s="34" t="str">
        <x:v>62</x:v>
      </x:c>
      <x:c r="B376" s="34" t="str">
        <x:v>11436</x:v>
      </x:c>
      <x:c r="C376" s="34" t="str">
        <x:v>A/HRC/62/L.25/Rev.1</x:v>
      </x:c>
      <x:c r="D376" s="34" t="str">
        <x:v>Human rights implications of the obstruction and denial of humanitarian access and threats to the safety of humanitarian personnel in armed conflict</x:v>
      </x:c>
      <x:c r="E376" s="34" t="str">
        <x:v>Kuwait, Egypt, Indonesia, Malaysia</x:v>
      </x:c>
      <x:c r="F376" s="34" t="n">
        <x:v>46204.53611111111</x:v>
      </x:c>
      <x:c r="G376" s="34" t="str">
        <x:v>A/HRC/RES/62/4</x:v>
      </x:c>
      <x:c r="H376" s="34" t="str">
        <x:v>adopted</x:v>
      </x:c>
      <x:c r="I376" s="34" t="str">
        <x:v>Adopted as orally revised without a vote A/HRC/61/L.25/Rev.1 Oral Revision</x:v>
      </x:c>
      <x:c r="J376" s="34" t="str">
        <x:v>https://hrcportal.ohchr.org/draft-resolutions?sessionID=11436&amp;page=3</x:v>
      </x:c>
    </x:row>
    <x:row r="377" ht="42" customHeight="1">
      <x:c r="A377" s="35" t="str">
        <x:v>62</x:v>
      </x:c>
      <x:c r="B377" s="35" t="str">
        <x:v>11436</x:v>
      </x:c>
      <x:c r="C377" s="35" t="str">
        <x:v>A/HRC/62/L.26</x:v>
      </x:c>
      <x:c r="D377" s="35" t="str">
        <x:v>OBSOLETE</x:v>
      </x:c>
      <x:c r="E377" s="35" t="str">
        <x:v>Qatar</x:v>
      </x:c>
      <x:c r="F377" s="35" t="n">
        <x:v>46199.35833333333</x:v>
      </x:c>
      <x:c r="G377" s="35" t="str"/>
      <x:c r="H377" s="35" t="str">
        <x:v>obsolete/superseded</x:v>
      </x:c>
      <x:c r="I377" s="35" t="str">
        <x:v>-</x:v>
      </x:c>
      <x:c r="J377" s="35" t="str">
        <x:v>https://hrcportal.ohchr.org/draft-resolutions?sessionID=11436&amp;page=3</x:v>
      </x:c>
    </x:row>
    <x:row r="378" ht="42" customHeight="1">
      <x:c r="A378" s="34" t="str">
        <x:v>62</x:v>
      </x:c>
      <x:c r="B378" s="34" t="str">
        <x:v>11436</x:v>
      </x:c>
      <x:c r="C378" s="34" t="str">
        <x:v>A/HRC/62/L.26/Rev.1</x:v>
      </x:c>
      <x:c r="D378" s="34" t="str">
        <x:v>Protection of health care in armed conflict</x:v>
      </x:c>
      <x:c r="E378" s="34" t="str">
        <x:v>Qatar</x:v>
      </x:c>
      <x:c r="F378" s="34" t="n">
        <x:v>46205.36319444444</x:v>
      </x:c>
      <x:c r="G378" s="34" t="str">
        <x:v>A/HRC/RES/62/20</x:v>
      </x:c>
      <x:c r="H378" s="34" t="str">
        <x:v>adopted</x:v>
      </x:c>
      <x:c r="I378" s="34" t="str">
        <x:v>Adopted as orally revised without a vote A/HRC/61/L.26/Rev.1 Oral Revision</x:v>
      </x:c>
      <x:c r="J378" s="34" t="str">
        <x:v>https://hrcportal.ohchr.org/draft-resolutions?sessionID=11436&amp;page=3</x:v>
      </x:c>
    </x:row>
    <x:row r="379" ht="42" customHeight="1">
      <x:c r="A379" s="35" t="str">
        <x:v>62</x:v>
      </x:c>
      <x:c r="B379" s="35" t="str">
        <x:v>11436</x:v>
      </x:c>
      <x:c r="C379" s="35" t="str">
        <x:v>A/HRC/62/L.27</x:v>
      </x:c>
      <x:c r="D379" s="35" t="str">
        <x:v>Human rights and neglected tropical diseases</x:v>
      </x:c>
      <x:c r="E379" s="35" t="str">
        <x:v>Malawi, Burkina Faso, Gambia, Kenya, Morocco, United Republic of Tanzania</x:v>
      </x:c>
      <x:c r="F379" s="35" t="n">
        <x:v>46199.415972222225</x:v>
      </x:c>
      <x:c r="G379" s="35" t="str">
        <x:v>A/HRC/RES/62/21</x:v>
      </x:c>
      <x:c r="H379" s="35" t="str">
        <x:v>adopted</x:v>
      </x:c>
      <x:c r="I379" s="35" t="str">
        <x:v>Adopted as orally revised without a vote A/HRC/61/L.27 Oral Revision</x:v>
      </x:c>
      <x:c r="J379" s="35" t="str">
        <x:v>https://hrcportal.ohchr.org/draft-resolutions?sessionID=11436&amp;page=3</x:v>
      </x:c>
    </x:row>
    <x:row r="380" ht="42" customHeight="1">
      <x:c r="A380" s="34" t="str">
        <x:v>62</x:v>
      </x:c>
      <x:c r="B380" s="34" t="str">
        <x:v>11436</x:v>
      </x:c>
      <x:c r="C380" s="34" t="str">
        <x:v>A/HRC/62/L.28</x:v>
      </x:c>
      <x:c r="D380" s="34" t="str">
        <x:v>Amendment to draft resolution A/HRC/62/L.24/Rev.1</x:v>
      </x:c>
      <x:c r="E380" s="34" t="str">
        <x:v>Russian Federation</x:v>
      </x:c>
      <x:c r="F380" s="34" t="n">
        <x:v>46203.29236111111</x:v>
      </x:c>
      <x:c r="G380" s="34" t="str"/>
      <x:c r="H380" s="34" t="str">
        <x:v>withdrawn</x:v>
      </x:c>
      <x:c r="I380" s="34" t="str">
        <x:v>Withdrawn by sponsor(s)</x:v>
      </x:c>
      <x:c r="J380" s="34" t="str">
        <x:v>https://hrcportal.ohchr.org/draft-resolutions?sessionID=11436&amp;page=3</x:v>
      </x:c>
    </x:row>
    <x:row r="381" ht="42" customHeight="1">
      <x:c r="A381" s="35" t="str">
        <x:v>62</x:v>
      </x:c>
      <x:c r="B381" s="35" t="str">
        <x:v>11436</x:v>
      </x:c>
      <x:c r="C381" s="35" t="str">
        <x:v>A/HRC/62/L.29</x:v>
      </x:c>
      <x:c r="D381" s="35" t="str">
        <x:v>Amendment to draft resolution A/HRC/62/L.24/Rev.1</x:v>
      </x:c>
      <x:c r="E381" s="35" t="str">
        <x:v>Russian Federation</x:v>
      </x:c>
      <x:c r="F381" s="35" t="n">
        <x:v>46203.29305555556</x:v>
      </x:c>
      <x:c r="G381" s="35" t="str"/>
      <x:c r="H381" s="35" t="str">
        <x:v>withdrawn</x:v>
      </x:c>
      <x:c r="I381" s="35" t="str">
        <x:v>Withdrawn by sponsor(s)</x:v>
      </x:c>
      <x:c r="J381" s="35" t="str">
        <x:v>https://hrcportal.ohchr.org/draft-resolutions?sessionID=11436&amp;page=3</x:v>
      </x:c>
    </x:row>
    <x:row r="382" ht="42" customHeight="1">
      <x:c r="A382" s="34" t="str">
        <x:v>62</x:v>
      </x:c>
      <x:c r="B382" s="34" t="str">
        <x:v>11436</x:v>
      </x:c>
      <x:c r="C382" s="34" t="str">
        <x:v>A/HRC/62/L.3</x:v>
      </x:c>
      <x:c r="D382" s="34" t="str">
        <x:v>OBSOLETE</x:v>
      </x:c>
      <x:c r="E382" s="34" t="str">
        <x:v>Cyprus (on behalf of the European Union)</x:v>
      </x:c>
      <x:c r="F382" s="34" t="n">
        <x:v>46195.291666666664</x:v>
      </x:c>
      <x:c r="G382" s="34" t="str"/>
      <x:c r="H382" s="34" t="str">
        <x:v>obsolete/superseded</x:v>
      </x:c>
      <x:c r="I382" s="34" t="str">
        <x:v>-</x:v>
      </x:c>
      <x:c r="J382" s="34" t="str">
        <x:v>https://hrcportal.ohchr.org/draft-resolutions?sessionID=11436&amp;page=0</x:v>
      </x:c>
    </x:row>
    <x:row r="383" ht="42" customHeight="1">
      <x:c r="A383" s="35" t="str">
        <x:v>62</x:v>
      </x:c>
      <x:c r="B383" s="35" t="str">
        <x:v>11436</x:v>
      </x:c>
      <x:c r="C383" s="35" t="str">
        <x:v>A/HRC/62/L.3/Rev.1</x:v>
      </x:c>
      <x:c r="D383" s="35" t="str">
        <x:v>Situation of human rights in Eritrea</x:v>
      </x:c>
      <x:c r="E383" s="35" t="str">
        <x:v>Cyprus (on behalf of the European Union)</x:v>
      </x:c>
      <x:c r="F383" s="35" t="n">
        <x:v>46199.39722222222</x:v>
      </x:c>
      <x:c r="G383" s="35" t="str">
        <x:v>A/HRC/RES/62/2</x:v>
      </x:c>
      <x:c r="H383" s="35" t="str">
        <x:v>adopted</x:v>
      </x:c>
      <x:c r="I383" s="35" t="str">
        <x:v>Adopted vote 23-6-17</x:v>
      </x:c>
      <x:c r="J383" s="35" t="str">
        <x:v>https://hrcportal.ohchr.org/draft-resolutions?sessionID=11436&amp;page=0</x:v>
      </x:c>
    </x:row>
    <x:row r="384" ht="42" customHeight="1">
      <x:c r="A384" s="34" t="str">
        <x:v>62</x:v>
      </x:c>
      <x:c r="B384" s="34" t="str">
        <x:v>11436</x:v>
      </x:c>
      <x:c r="C384" s="34" t="str">
        <x:v>A/HRC/62/L.30</x:v>
      </x:c>
      <x:c r="D384" s="34" t="str">
        <x:v>Amendment to draft resolution A/HRC/62/L.24/Rev.1</x:v>
      </x:c>
      <x:c r="E384" s="34" t="str">
        <x:v>Russian Federation</x:v>
      </x:c>
      <x:c r="F384" s="34" t="n">
        <x:v>46203.29375</x:v>
      </x:c>
      <x:c r="G384" s="34" t="str"/>
      <x:c r="H384" s="34" t="str">
        <x:v>withdrawn</x:v>
      </x:c>
      <x:c r="I384" s="34" t="str">
        <x:v>Withdrawn by sponsor(s)</x:v>
      </x:c>
      <x:c r="J384" s="34" t="str">
        <x:v>https://hrcportal.ohchr.org/draft-resolutions?sessionID=11436&amp;page=3</x:v>
      </x:c>
    </x:row>
    <x:row r="385" ht="42" customHeight="1">
      <x:c r="A385" s="35" t="str">
        <x:v>62</x:v>
      </x:c>
      <x:c r="B385" s="35" t="str">
        <x:v>11436</x:v>
      </x:c>
      <x:c r="C385" s="35" t="str">
        <x:v>A/HRC/62/L.31</x:v>
      </x:c>
      <x:c r="D385" s="35" t="str">
        <x:v>Amendment to draft resolution A/HRC/62/L.16/Rev.1</x:v>
      </x:c>
      <x:c r="E385" s="35" t="str">
        <x:v>Nigeria</x:v>
      </x:c>
      <x:c r="F385" s="35" t="n">
        <x:v>46203.35972222222</x:v>
      </x:c>
      <x:c r="G385" s="35" t="str"/>
      <x:c r="H385" s="35" t="str">
        <x:v>withdrawn</x:v>
      </x:c>
      <x:c r="I385" s="35" t="str">
        <x:v>Withdrawn by sponsor(s)</x:v>
      </x:c>
      <x:c r="J385" s="35" t="str">
        <x:v>https://hrcportal.ohchr.org/draft-resolutions?sessionID=11436&amp;page=4</x:v>
      </x:c>
    </x:row>
    <x:row r="386" ht="42" customHeight="1">
      <x:c r="A386" s="34" t="str">
        <x:v>62</x:v>
      </x:c>
      <x:c r="B386" s="34" t="str">
        <x:v>11436</x:v>
      </x:c>
      <x:c r="C386" s="34" t="str">
        <x:v>A/HRC/62/L.32</x:v>
      </x:c>
      <x:c r="D386" s="34" t="str">
        <x:v>Amendment to draft resolution A/HRC/62/L.19/Rev.1</x:v>
      </x:c>
      <x:c r="E386" s="34" t="str">
        <x:v>Russian Federation</x:v>
      </x:c>
      <x:c r="F386" s="34" t="n">
        <x:v>46204.36111111111</x:v>
      </x:c>
      <x:c r="G386" s="34" t="str"/>
      <x:c r="H386" s="34" t="str">
        <x:v>withdrawn</x:v>
      </x:c>
      <x:c r="I386" s="34" t="str">
        <x:v>Withdrawn by sponsor(s)</x:v>
      </x:c>
      <x:c r="J386" s="34" t="str">
        <x:v>https://hrcportal.ohchr.org/draft-resolutions?sessionID=11436&amp;page=4</x:v>
      </x:c>
    </x:row>
    <x:row r="387" ht="42" customHeight="1">
      <x:c r="A387" s="35" t="str">
        <x:v>62</x:v>
      </x:c>
      <x:c r="B387" s="35" t="str">
        <x:v>11436</x:v>
      </x:c>
      <x:c r="C387" s="35" t="str">
        <x:v>A/HRC/62/L.33</x:v>
      </x:c>
      <x:c r="D387" s="35" t="str">
        <x:v>Amendment to draft resolution A/HRC/62/L.19/Rev.1</x:v>
      </x:c>
      <x:c r="E387" s="35" t="str">
        <x:v>Russian Federation</x:v>
      </x:c>
      <x:c r="F387" s="35" t="n">
        <x:v>46204.361805555556</x:v>
      </x:c>
      <x:c r="G387" s="35" t="str"/>
      <x:c r="H387" s="35" t="str">
        <x:v>withdrawn</x:v>
      </x:c>
      <x:c r="I387" s="35" t="str">
        <x:v>Withdrawn by sponsor(s)</x:v>
      </x:c>
      <x:c r="J387" s="35" t="str">
        <x:v>https://hrcportal.ohchr.org/draft-resolutions?sessionID=11436&amp;page=4</x:v>
      </x:c>
    </x:row>
    <x:row r="388" ht="42" customHeight="1">
      <x:c r="A388" s="34" t="str">
        <x:v>62</x:v>
      </x:c>
      <x:c r="B388" s="34" t="str">
        <x:v>11436</x:v>
      </x:c>
      <x:c r="C388" s="34" t="str">
        <x:v>A/HRC/62/L.34</x:v>
      </x:c>
      <x:c r="D388" s="34" t="str">
        <x:v>Amendment to draft resolution A/HRC/62/L.19/Rev.1</x:v>
      </x:c>
      <x:c r="E388" s="34" t="str">
        <x:v>Russian Federation</x:v>
      </x:c>
      <x:c r="F388" s="34" t="n">
        <x:v>46204.3625</x:v>
      </x:c>
      <x:c r="G388" s="34" t="str"/>
      <x:c r="H388" s="34" t="str">
        <x:v>withdrawn</x:v>
      </x:c>
      <x:c r="I388" s="34" t="str">
        <x:v>Withdrawn by sponsor(s)</x:v>
      </x:c>
      <x:c r="J388" s="34" t="str">
        <x:v>https://hrcportal.ohchr.org/draft-resolutions?sessionID=11436&amp;page=4</x:v>
      </x:c>
    </x:row>
    <x:row r="389" ht="42" customHeight="1">
      <x:c r="A389" s="35" t="str">
        <x:v>62</x:v>
      </x:c>
      <x:c r="B389" s="35" t="str">
        <x:v>11436</x:v>
      </x:c>
      <x:c r="C389" s="35" t="str">
        <x:v>A/HRC/62/L.35</x:v>
      </x:c>
      <x:c r="D389" s="35" t="str">
        <x:v>Amendment to draft resolution A/HRC/62/L.19/Rev.1</x:v>
      </x:c>
      <x:c r="E389" s="35" t="str">
        <x:v>Russian Federation</x:v>
      </x:c>
      <x:c r="F389" s="35" t="n">
        <x:v>46204.36319444444</x:v>
      </x:c>
      <x:c r="G389" s="35" t="str"/>
      <x:c r="H389" s="35" t="str">
        <x:v>withdrawn</x:v>
      </x:c>
      <x:c r="I389" s="35" t="str">
        <x:v>Withdrawn by sponsor(s)</x:v>
      </x:c>
      <x:c r="J389" s="35" t="str">
        <x:v>https://hrcportal.ohchr.org/draft-resolutions?sessionID=11436&amp;page=4</x:v>
      </x:c>
    </x:row>
    <x:row r="390" ht="42" customHeight="1">
      <x:c r="A390" s="34" t="str">
        <x:v>62</x:v>
      </x:c>
      <x:c r="B390" s="34" t="str">
        <x:v>11436</x:v>
      </x:c>
      <x:c r="C390" s="34" t="str">
        <x:v>A/HRC/62/L.36</x:v>
      </x:c>
      <x:c r="D390" s="34" t="str">
        <x:v>Amendment to draft resolution A/HRC/62/L.19/Rev.1</x:v>
      </x:c>
      <x:c r="E390" s="34" t="str">
        <x:v>Russian Federation</x:v>
      </x:c>
      <x:c r="F390" s="34" t="n">
        <x:v>46204.36388888889</x:v>
      </x:c>
      <x:c r="G390" s="34" t="str"/>
      <x:c r="H390" s="34" t="str">
        <x:v>withdrawn</x:v>
      </x:c>
      <x:c r="I390" s="34" t="str">
        <x:v>Withdrawn by sponsor(s)</x:v>
      </x:c>
      <x:c r="J390" s="34" t="str">
        <x:v>https://hrcportal.ohchr.org/draft-resolutions?sessionID=11436&amp;page=4</x:v>
      </x:c>
    </x:row>
    <x:row r="391" ht="42" customHeight="1">
      <x:c r="A391" s="35" t="str">
        <x:v>62</x:v>
      </x:c>
      <x:c r="B391" s="35" t="str">
        <x:v>11436</x:v>
      </x:c>
      <x:c r="C391" s="35" t="str">
        <x:v>A/HRC/62/L.37</x:v>
      </x:c>
      <x:c r="D391" s="35" t="str">
        <x:v>Amendment to draft resolution A/HRC/62/L.19/Rev.1</x:v>
      </x:c>
      <x:c r="E391" s="35" t="str">
        <x:v>Russian Federation</x:v>
      </x:c>
      <x:c r="F391" s="35" t="n">
        <x:v>46204.364583333336</x:v>
      </x:c>
      <x:c r="G391" s="35" t="str"/>
      <x:c r="H391" s="35" t="str">
        <x:v>withdrawn</x:v>
      </x:c>
      <x:c r="I391" s="35" t="str">
        <x:v>Withdrawn by sponsor(s)</x:v>
      </x:c>
      <x:c r="J391" s="35" t="str">
        <x:v>https://hrcportal.ohchr.org/draft-resolutions?sessionID=11436&amp;page=0</x:v>
      </x:c>
    </x:row>
    <x:row r="392" ht="42" customHeight="1">
      <x:c r="A392" s="34" t="str">
        <x:v>62</x:v>
      </x:c>
      <x:c r="B392" s="34" t="str">
        <x:v>11436</x:v>
      </x:c>
      <x:c r="C392" s="34" t="str">
        <x:v>A/HRC/62/L.38</x:v>
      </x:c>
      <x:c r="D392" s="34" t="str">
        <x:v>Amendment to draft resolution A/HRC/62/L.19/Rev.1</x:v>
      </x:c>
      <x:c r="E392" s="34" t="str">
        <x:v>Russian Federation</x:v>
      </x:c>
      <x:c r="F392" s="34" t="n">
        <x:v>46204.37847222222</x:v>
      </x:c>
      <x:c r="G392" s="34" t="str"/>
      <x:c r="H392" s="34" t="str">
        <x:v>tabled; no final resolution shown</x:v>
      </x:c>
      <x:c r="I392" s="34" t="str">
        <x:v>Rejected vote 7-27-11</x:v>
      </x:c>
      <x:c r="J392" s="34" t="str">
        <x:v>https://hrcportal.ohchr.org/draft-resolutions?sessionID=11436&amp;page=4</x:v>
      </x:c>
    </x:row>
    <x:row r="393" ht="42" customHeight="1">
      <x:c r="A393" s="35" t="str">
        <x:v>62</x:v>
      </x:c>
      <x:c r="B393" s="35" t="str">
        <x:v>11436</x:v>
      </x:c>
      <x:c r="C393" s="35" t="str">
        <x:v>A/HRC/62/L.39</x:v>
      </x:c>
      <x:c r="D393" s="35" t="str">
        <x:v>Amendment to draft resolution A/HRC/62/L.16/Rev.1</x:v>
      </x:c>
      <x:c r="E393" s="35" t="str">
        <x:v>Russian Federation</x:v>
      </x:c>
      <x:c r="F393" s="35" t="n">
        <x:v>46204.38125</x:v>
      </x:c>
      <x:c r="G393" s="35" t="str"/>
      <x:c r="H393" s="35" t="str">
        <x:v>tabled; no final resolution shown</x:v>
      </x:c>
      <x:c r="I393" s="35" t="str">
        <x:v>Rejected vote 7-25-13</x:v>
      </x:c>
      <x:c r="J393" s="35" t="str">
        <x:v>https://hrcportal.ohchr.org/draft-resolutions?sessionID=11436&amp;page=4</x:v>
      </x:c>
    </x:row>
    <x:row r="394" ht="42" customHeight="1">
      <x:c r="A394" s="34" t="str">
        <x:v>62</x:v>
      </x:c>
      <x:c r="B394" s="34" t="str">
        <x:v>11436</x:v>
      </x:c>
      <x:c r="C394" s="34" t="str">
        <x:v>A/HRC/62/L.4</x:v>
      </x:c>
      <x:c r="D394" s="34" t="str">
        <x:v>Special Rapporteur on the rights of persons with disabilities</x:v>
      </x:c>
      <x:c r="E394" s="34" t="str">
        <x:v>Mexico, New Zealand</x:v>
      </x:c>
      <x:c r="F394" s="34" t="n">
        <x:v>46195.45</x:v>
      </x:c>
      <x:c r="G394" s="34" t="str">
        <x:v>A/HRC/RES/62/7</x:v>
      </x:c>
      <x:c r="H394" s="34" t="str">
        <x:v>adopted</x:v>
      </x:c>
      <x:c r="I394" s="34" t="str">
        <x:v>Adopted without a vote</x:v>
      </x:c>
      <x:c r="J394" s="34" t="str">
        <x:v>https://hrcportal.ohchr.org/draft-resolutions?sessionID=11436&amp;page=0</x:v>
      </x:c>
    </x:row>
    <x:row r="395" ht="42" customHeight="1">
      <x:c r="A395" s="35" t="str">
        <x:v>62</x:v>
      </x:c>
      <x:c r="B395" s="35" t="str">
        <x:v>11436</x:v>
      </x:c>
      <x:c r="C395" s="35" t="str">
        <x:v>A/HRC/62/L.40</x:v>
      </x:c>
      <x:c r="D395" s="35" t="str">
        <x:v>Amendment to draft resolution A/HRC/62/L.21/Rev.1</x:v>
      </x:c>
      <x:c r="E395" s="35" t="str">
        <x:v>Russian Federation</x:v>
      </x:c>
      <x:c r="F395" s="35" t="n">
        <x:v>46204.37847222222</x:v>
      </x:c>
      <x:c r="G395" s="35" t="str"/>
      <x:c r="H395" s="35" t="str">
        <x:v>withdrawn</x:v>
      </x:c>
      <x:c r="I395" s="35" t="str">
        <x:v>Withdrawn by sponsor(s)</x:v>
      </x:c>
      <x:c r="J395" s="35" t="str">
        <x:v>https://hrcportal.ohchr.org/draft-resolutions?sessionID=11436&amp;page=4</x:v>
      </x:c>
    </x:row>
    <x:row r="396" ht="42" customHeight="1">
      <x:c r="A396" s="34" t="str">
        <x:v>62</x:v>
      </x:c>
      <x:c r="B396" s="34" t="str">
        <x:v>11436</x:v>
      </x:c>
      <x:c r="C396" s="34" t="str">
        <x:v>A/HRC/62/L.41</x:v>
      </x:c>
      <x:c r="D396" s="34" t="str">
        <x:v>Amendment to draft resolution A/HRC/62/L.24/Rev.1</x:v>
      </x:c>
      <x:c r="E396" s="34" t="str">
        <x:v>Sudan (on behalf of Group of Arab States)</x:v>
      </x:c>
      <x:c r="F396" s="34" t="n">
        <x:v>46204.45416666667</x:v>
      </x:c>
      <x:c r="G396" s="34" t="str"/>
      <x:c r="H396" s="34" t="str">
        <x:v>tabled; no final resolution shown</x:v>
      </x:c>
      <x:c r="I396" s="34" t="str">
        <x:v>Rejected vote 8-27-10 A/HRC/61/L.41 Oral Revision</x:v>
      </x:c>
      <x:c r="J396" s="34" t="str">
        <x:v>https://hrcportal.ohchr.org/draft-resolutions?sessionID=11436&amp;page=4</x:v>
      </x:c>
    </x:row>
    <x:row r="397" ht="42" customHeight="1">
      <x:c r="A397" s="35" t="str">
        <x:v>62</x:v>
      </x:c>
      <x:c r="B397" s="35" t="str">
        <x:v>11436</x:v>
      </x:c>
      <x:c r="C397" s="35" t="str">
        <x:v>A/HRC/62/L.42</x:v>
      </x:c>
      <x:c r="D397" s="35" t="str">
        <x:v>Amendment to draft resolution A/HRC/62/L.24/Rev.1</x:v>
      </x:c>
      <x:c r="E397" s="35" t="str">
        <x:v>Sudan (on behalf of Group of Arab States)</x:v>
      </x:c>
      <x:c r="F397" s="35" t="n">
        <x:v>46204.45486111111</x:v>
      </x:c>
      <x:c r="G397" s="35" t="str"/>
      <x:c r="H397" s="35" t="str">
        <x:v>tabled; no final resolution shown</x:v>
      </x:c>
      <x:c r="I397" s="35" t="str">
        <x:v>Rejected vote 9-25-11</x:v>
      </x:c>
      <x:c r="J397" s="35" t="str">
        <x:v>https://hrcportal.ohchr.org/draft-resolutions?sessionID=11436&amp;page=5</x:v>
      </x:c>
    </x:row>
    <x:row r="398" ht="42" customHeight="1">
      <x:c r="A398" s="34" t="str">
        <x:v>62</x:v>
      </x:c>
      <x:c r="B398" s="34" t="str">
        <x:v>11436</x:v>
      </x:c>
      <x:c r="C398" s="34" t="str">
        <x:v>A/HRC/62/L.43</x:v>
      </x:c>
      <x:c r="D398" s="34" t="str">
        <x:v>Amendment to draft resolution A/HRC/62/L.24/Rev.1</x:v>
      </x:c>
      <x:c r="E398" s="34" t="str">
        <x:v>Sudan (on behalf of Group of Arab States)</x:v>
      </x:c>
      <x:c r="F398" s="34" t="n">
        <x:v>46204.455555555556</x:v>
      </x:c>
      <x:c r="G398" s="34" t="str"/>
      <x:c r="H398" s="34" t="str">
        <x:v>tabled; no final resolution shown</x:v>
      </x:c>
      <x:c r="I398" s="34" t="str">
        <x:v>Rejected vote 9-23-13</x:v>
      </x:c>
      <x:c r="J398" s="34" t="str">
        <x:v>https://hrcportal.ohchr.org/draft-resolutions?sessionID=11436&amp;page=5</x:v>
      </x:c>
    </x:row>
    <x:row r="399" ht="42" customHeight="1">
      <x:c r="A399" s="35" t="str">
        <x:v>62</x:v>
      </x:c>
      <x:c r="B399" s="35" t="str">
        <x:v>11436</x:v>
      </x:c>
      <x:c r="C399" s="35" t="str">
        <x:v>A/HRC/62/L.44</x:v>
      </x:c>
      <x:c r="D399" s="35" t="str">
        <x:v>Amendment to draft resolution A/HRC/62/L.24/Rev.1</x:v>
      </x:c>
      <x:c r="E399" s="35" t="str">
        <x:v>Sudan (on behalf of Group of Arab States)</x:v>
      </x:c>
      <x:c r="F399" s="35" t="n">
        <x:v>46204.45625</x:v>
      </x:c>
      <x:c r="G399" s="35" t="str"/>
      <x:c r="H399" s="35" t="str">
        <x:v>tabled; no final resolution shown</x:v>
      </x:c>
      <x:c r="I399" s="35" t="str">
        <x:v>Rejected vote 7-26-12</x:v>
      </x:c>
      <x:c r="J399" s="35" t="str">
        <x:v>https://hrcportal.ohchr.org/draft-resolutions?sessionID=11436&amp;page=5</x:v>
      </x:c>
    </x:row>
    <x:row r="400" ht="42" customHeight="1">
      <x:c r="A400" s="34" t="str">
        <x:v>62</x:v>
      </x:c>
      <x:c r="B400" s="34" t="str">
        <x:v>11436</x:v>
      </x:c>
      <x:c r="C400" s="34" t="str">
        <x:v>A/HRC/62/L.45</x:v>
      </x:c>
      <x:c r="D400" s="34" t="str">
        <x:v>Amendment to draft resolution A/HRC/62/L.16/Rev.1</x:v>
      </x:c>
      <x:c r="E400" s="34" t="str">
        <x:v>Pakistan (on behalf of the Organization of Islamic Cooperation, except Albania)</x:v>
      </x:c>
      <x:c r="F400" s="34" t="n">
        <x:v>46204.45694444444</x:v>
      </x:c>
      <x:c r="G400" s="34" t="str"/>
      <x:c r="H400" s="34" t="str">
        <x:v>tabled; no final resolution shown</x:v>
      </x:c>
      <x:c r="I400" s="34" t="str">
        <x:v>Rejected vote 7-26-12</x:v>
      </x:c>
      <x:c r="J400" s="34" t="str">
        <x:v>https://hrcportal.ohchr.org/draft-resolutions?sessionID=11436&amp;page=5</x:v>
      </x:c>
    </x:row>
    <x:row r="401" ht="42" customHeight="1">
      <x:c r="A401" s="35" t="str">
        <x:v>62</x:v>
      </x:c>
      <x:c r="B401" s="35" t="str">
        <x:v>11436</x:v>
      </x:c>
      <x:c r="C401" s="35" t="str">
        <x:v>A/HRC/62/L.46</x:v>
      </x:c>
      <x:c r="D401" s="35" t="str">
        <x:v>Amendment to draft resolution A/HRC/62/L.16/Rev.1</x:v>
      </x:c>
      <x:c r="E401" s="35" t="str">
        <x:v>Pakistan (on behalf of the Organization of Islamic Cooperation, except Albania)</x:v>
      </x:c>
      <x:c r="F401" s="35" t="n">
        <x:v>46204.45763888889</x:v>
      </x:c>
      <x:c r="G401" s="35" t="str"/>
      <x:c r="H401" s="35" t="str">
        <x:v>tabled; no final resolution shown</x:v>
      </x:c>
      <x:c r="I401" s="35" t="str">
        <x:v>Rejected vote 9-23-13</x:v>
      </x:c>
      <x:c r="J401" s="35" t="str">
        <x:v>https://hrcportal.ohchr.org/draft-resolutions?sessionID=11436&amp;page=5</x:v>
      </x:c>
    </x:row>
    <x:row r="402" ht="42" customHeight="1">
      <x:c r="A402" s="34" t="str">
        <x:v>62</x:v>
      </x:c>
      <x:c r="B402" s="34" t="str">
        <x:v>11436</x:v>
      </x:c>
      <x:c r="C402" s="34" t="str">
        <x:v>A/HRC/62/L.47</x:v>
      </x:c>
      <x:c r="D402" s="34" t="str">
        <x:v>Amendment to draft resolution A/HRC/62/L.16/Rev.1</x:v>
      </x:c>
      <x:c r="E402" s="34" t="str">
        <x:v>Pakistan (on behalf of the Organization of Islamic Cooperation, except Albania)</x:v>
      </x:c>
      <x:c r="F402" s="34" t="n">
        <x:v>46204.458333333336</x:v>
      </x:c>
      <x:c r="G402" s="34" t="str"/>
      <x:c r="H402" s="34" t="str">
        <x:v>tabled; no final resolution shown</x:v>
      </x:c>
      <x:c r="I402" s="34" t="str">
        <x:v>Rejected vote 8-26-11</x:v>
      </x:c>
      <x:c r="J402" s="34" t="str">
        <x:v>https://hrcportal.ohchr.org/draft-resolutions?sessionID=11436&amp;page=5</x:v>
      </x:c>
    </x:row>
    <x:row r="403" ht="42" customHeight="1">
      <x:c r="A403" s="35" t="str">
        <x:v>62</x:v>
      </x:c>
      <x:c r="B403" s="35" t="str">
        <x:v>11436</x:v>
      </x:c>
      <x:c r="C403" s="35" t="str">
        <x:v>A/HRC/62/L.48</x:v>
      </x:c>
      <x:c r="D403" s="35" t="str">
        <x:v>Human rights situation in and around El Obeid, in the context of the ongoing conflict in the Sudan</x:v>
      </x:c>
      <x:c r="E403" s="35" t="str">
        <x:v>United Kingdom of Great Britain and Northern Ireland, Germany, Ireland, Netherlands (Kingdom of the), Norway</x:v>
      </x:c>
      <x:c r="F403" s="35" t="n">
        <x:v>46206.3375</x:v>
      </x:c>
      <x:c r="G403" s="35" t="str">
        <x:v>A/HRC/RES/62/1</x:v>
      </x:c>
      <x:c r="H403" s="35" t="str">
        <x:v>adopted</x:v>
      </x:c>
      <x:c r="I403" s="35" t="str">
        <x:v>Adopted without a vote</x:v>
      </x:c>
      <x:c r="J403" s="35" t="str">
        <x:v>https://hrcportal.ohchr.org/draft-resolutions?sessionID=11436&amp;page=5</x:v>
      </x:c>
    </x:row>
    <x:row r="404" ht="42" customHeight="1">
      <x:c r="A404" s="34" t="str">
        <x:v>62</x:v>
      </x:c>
      <x:c r="B404" s="34" t="str">
        <x:v>11436</x:v>
      </x:c>
      <x:c r="C404" s="34" t="str">
        <x:v>A/HRC/62/L.5</x:v>
      </x:c>
      <x:c r="D404" s="34" t="str">
        <x:v>Elimination of discrimination against persons affected by leprosy/ Hansen’s disease and their family members</x:v>
      </x:c>
      <x:c r="E404" s="34" t="str">
        <x:v>Japan, Brazil, Ecuador, Ethiopia, Fiji, India, Kyrgyzstan, Morocco</x:v>
      </x:c>
      <x:c r="F404" s="34" t="n">
        <x:v>46197.290972222225</x:v>
      </x:c>
      <x:c r="G404" s="34" t="str">
        <x:v>A/HRC/RES/62/15</x:v>
      </x:c>
      <x:c r="H404" s="34" t="str">
        <x:v>adopted</x:v>
      </x:c>
      <x:c r="I404" s="34" t="str">
        <x:v>Adopted without a vote</x:v>
      </x:c>
      <x:c r="J404" s="34" t="str">
        <x:v>https://hrcportal.ohchr.org/draft-resolutions?sessionID=11436&amp;page=0</x:v>
      </x:c>
    </x:row>
    <x:row r="405" ht="42" customHeight="1">
      <x:c r="A405" s="35" t="str">
        <x:v>62</x:v>
      </x:c>
      <x:c r="B405" s="35" t="str">
        <x:v>11436</x:v>
      </x:c>
      <x:c r="C405" s="35" t="str">
        <x:v>A/HRC/62/L.6</x:v>
      </x:c>
      <x:c r="D405" s="35" t="str">
        <x:v>The right to education</x:v>
      </x:c>
      <x:c r="E405" s="35" t="str">
        <x:v>Portugal</x:v>
      </x:c>
      <x:c r="F405" s="35" t="n">
        <x:v>46197.37430555555</x:v>
      </x:c>
      <x:c r="G405" s="35" t="str">
        <x:v>A/HRC/RES/62/8</x:v>
      </x:c>
      <x:c r="H405" s="35" t="str">
        <x:v>adopted</x:v>
      </x:c>
      <x:c r="I405" s="35" t="str">
        <x:v>Adopted without a vote A/HRC/62/L.6 Oral Revision</x:v>
      </x:c>
      <x:c r="J405" s="35" t="str">
        <x:v>https://hrcportal.ohchr.org/draft-resolutions?sessionID=11436&amp;page=0</x:v>
      </x:c>
    </x:row>
    <x:row r="406" ht="42" customHeight="1">
      <x:c r="A406" s="34" t="str">
        <x:v>62</x:v>
      </x:c>
      <x:c r="B406" s="34" t="str">
        <x:v>11436</x:v>
      </x:c>
      <x:c r="C406" s="34" t="str">
        <x:v>A/HRC/62/L.7</x:v>
      </x:c>
      <x:c r="D406" s="34" t="str">
        <x:v>The Social Forum</x:v>
      </x:c>
      <x:c r="E406" s="34" t="str">
        <x:v>Cuba</x:v>
      </x:c>
      <x:c r="F406" s="34" t="n">
        <x:v>46197.45</x:v>
      </x:c>
      <x:c r="G406" s="34" t="str">
        <x:v>A/HRC/RES/62/22</x:v>
      </x:c>
      <x:c r="H406" s="34" t="str">
        <x:v>adopted</x:v>
      </x:c>
      <x:c r="I406" s="34" t="str"/>
      <x:c r="J406" s="34" t="str">
        <x:v>https://hrcportal.ohchr.org/draft-resolutions?sessionID=11436&amp;page=0</x:v>
      </x:c>
    </x:row>
    <x:row r="407" ht="42" customHeight="1">
      <x:c r="A407" s="35" t="str">
        <x:v>62</x:v>
      </x:c>
      <x:c r="B407" s="35" t="str">
        <x:v>11436</x:v>
      </x:c>
      <x:c r="C407" s="35" t="str">
        <x:v>A/HRC/62/L.8</x:v>
      </x:c>
      <x:c r="D407" s="35" t="str">
        <x:v>Mandate of Independent Expert on human rights and international solidarity</x:v>
      </x:c>
      <x:c r="E407" s="35" t="str">
        <x:v>Cuba</x:v>
      </x:c>
      <x:c r="F407" s="35" t="n">
        <x:v>46197.4841087963</x:v>
      </x:c>
      <x:c r="G407" s="35" t="str">
        <x:v>A/HRC/RES/62/16</x:v>
      </x:c>
      <x:c r="H407" s="35" t="str">
        <x:v>adopted</x:v>
      </x:c>
      <x:c r="I407" s="35" t="str">
        <x:v>Adopted vote 29-16-1</x:v>
      </x:c>
      <x:c r="J407" s="35" t="str">
        <x:v>https://hrcportal.ohchr.org/draft-resolutions?sessionID=11436&amp;page=0</x:v>
      </x:c>
    </x:row>
    <x:row r="408" ht="42" customHeight="1">
      <x:c r="A408" s="34" t="str">
        <x:v>62</x:v>
      </x:c>
      <x:c r="B408" s="34" t="str">
        <x:v>11436</x:v>
      </x:c>
      <x:c r="C408" s="34" t="str">
        <x:v>A/HRC/62/L.9</x:v>
      </x:c>
      <x:c r="D408" s="34" t="str">
        <x:v>Role of States in countering the negative impact of disinformation on the enjoyment and realization of human rights</x:v>
      </x:c>
      <x:c r="E408" s="34" t="str">
        <x:v>Ukraine, Japan, Latvia, Lithuania, Poland, United Kingdom of Great Britain and Northern Ireland</x:v>
      </x:c>
      <x:c r="F408" s="34" t="n">
        <x:v>46197.490277777775</x:v>
      </x:c>
      <x:c r="G408" s="34" t="str">
        <x:v>A/HRC/RES/62/9</x:v>
      </x:c>
      <x:c r="H408" s="34" t="str">
        <x:v>adopted</x:v>
      </x:c>
      <x:c r="I408" s="34" t="str">
        <x:v>Adopted without a vote</x:v>
      </x:c>
      <x:c r="J408" s="34" t="str">
        <x:v>https://hrcportal.ohchr.org/draft-resolutions?sessionID=11436&amp;page=1</x:v>
      </x:c>
    </x:row>
  </x:sheetData>
  <x:mergeCells>
    <x:mergeCell ref="A1:J1"/>
    <x:mergeCell ref="A2:J2"/>
  </x:mergeCells>
  <x:conditionalFormatting sqref="H6:H408">
    <x:cfRule type="containsText" dxfId="7" priority="1" operator="containsText" text="adopted"/>
    <x:cfRule type="containsText" dxfId="8" priority="2" operator="containsText" text="obsolete"/>
    <x:cfRule type="containsText" dxfId="9" priority="3" operator="containsText" text="withdrawn"/>
    <x:cfRule type="containsText" dxfId="10" priority="4" operator="containsText" text="not considered"/>
  </x:conditionalFormatting>
  <x:pageMargins left="0.7" right="0.7" top="0.75" bottom="0.75" header="0.3" footer="0.3"/>
  <x:tableParts count="1">
    <x:tablePart xmlns:r="http://schemas.openxmlformats.org/officeDocument/2006/relationships" r:id="R368cd3c592da4eac"/>
  </x:tableParts>
</x:worksheet>
</file>